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asku\"/>
    </mc:Choice>
  </mc:AlternateContent>
  <xr:revisionPtr revIDLastSave="0" documentId="8_{4A92AE11-A766-442E-B6B3-CDE061E9E150}" xr6:coauthVersionLast="47" xr6:coauthVersionMax="47" xr10:uidLastSave="{00000000-0000-0000-0000-000000000000}"/>
  <bookViews>
    <workbookView xWindow="-110" yWindow="-110" windowWidth="25820" windowHeight="15500" xr2:uid="{C948097D-41CB-4AF2-B75D-0AAABBB65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B10" i="1"/>
  <c r="K9" i="1"/>
  <c r="C9" i="1"/>
  <c r="B9" i="1"/>
  <c r="K8" i="1"/>
  <c r="C8" i="1"/>
  <c r="B8" i="1"/>
  <c r="K7" i="1"/>
  <c r="C7" i="1"/>
  <c r="B7" i="1"/>
  <c r="K6" i="1"/>
  <c r="C6" i="1"/>
  <c r="B6" i="1"/>
</calcChain>
</file>

<file path=xl/sharedStrings.xml><?xml version="1.0" encoding="utf-8"?>
<sst xmlns="http://schemas.openxmlformats.org/spreadsheetml/2006/main" count="1441" uniqueCount="190">
  <si>
    <t>PROJECT MANAGEMENT</t>
  </si>
  <si>
    <t>Amar Al Fatah</t>
  </si>
  <si>
    <t>Aplikasi</t>
  </si>
  <si>
    <t>Progress</t>
  </si>
  <si>
    <t>Ringkasan</t>
  </si>
  <si>
    <t>Overall Progress</t>
  </si>
  <si>
    <t>Total Tasks</t>
  </si>
  <si>
    <t>Completed Tasks</t>
  </si>
  <si>
    <t>Pending / In Progress</t>
  </si>
  <si>
    <t>TASK</t>
  </si>
  <si>
    <t>PROGRESS</t>
  </si>
  <si>
    <t>START</t>
  </si>
  <si>
    <t>END</t>
  </si>
  <si>
    <t>Juni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</si>
  <si>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</si>
  <si>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</si>
  <si>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</si>
  <si>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</si>
  <si>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</si>
  <si>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</si>
  <si>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</si>
  <si>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</si>
  <si>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</si>
  <si>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</si>
  <si>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</si>
  <si>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1. GrowMate</t>
  </si>
  <si>
    <t>W1 06-25</t>
  </si>
  <si>
    <t>W3 08-26</t>
  </si>
  <si>
    <t>1.1 Auth &amp; Hak Akses</t>
  </si>
  <si>
    <t>W4 06-25</t>
  </si>
  <si>
    <t>1.2 Data Master</t>
  </si>
  <si>
    <t>W4 07-26</t>
  </si>
  <si>
    <t>1.3 Pengajuan Transaksi &amp; HPS</t>
  </si>
  <si>
    <t>W2 06-25</t>
  </si>
  <si>
    <t>W4 10-25</t>
  </si>
  <si>
    <t>1.4 Integrasi IPS</t>
  </si>
  <si>
    <t>W3 06-25</t>
  </si>
  <si>
    <t>1.4.1 Sinkronisasi Data IPS</t>
  </si>
  <si>
    <t>W4 12-25</t>
  </si>
  <si>
    <t>1.4.2 Create &amp; Update PR ke IPS</t>
  </si>
  <si>
    <t>W3 02-26</t>
  </si>
  <si>
    <t>W4 04-26</t>
  </si>
  <si>
    <t>1.4.3 Vendor &amp; SPPBJ untuk mobile</t>
  </si>
  <si>
    <t>W2 06-26</t>
  </si>
  <si>
    <t>1.5 Deployment</t>
  </si>
  <si>
    <t>1.5.1 Deploy server SISI</t>
  </si>
  <si>
    <t>W1 07-25</t>
  </si>
  <si>
    <t>1.5.2 Containerisasi</t>
  </si>
  <si>
    <t>W2 11-25</t>
  </si>
  <si>
    <t>1.5.3 Optimasi Docker</t>
  </si>
  <si>
    <t>1.6 Dashboard, Laporan &amp; Monitoring</t>
  </si>
  <si>
    <t>W2 07-25</t>
  </si>
  <si>
    <t>W2 08-26</t>
  </si>
  <si>
    <t>1.6.1 Dashboard Distribusi</t>
  </si>
  <si>
    <t>1.7 Integrasi SAP/CDS</t>
  </si>
  <si>
    <t>W2 08-25</t>
  </si>
  <si>
    <t>1.7.1 Stock (CDS)</t>
  </si>
  <si>
    <t>W4 08-25</t>
  </si>
  <si>
    <t>1.7.2 PO / Reservasi / Master &amp; Posting GR-GI-Transfer</t>
  </si>
  <si>
    <t>W1 12-25</t>
  </si>
  <si>
    <t>W2 04-26</t>
  </si>
  <si>
    <t>1.7.3 Update Stock ZPP_MISV</t>
  </si>
  <si>
    <t>1.7.4 Update Sloc ZHLD_SLOC_V</t>
  </si>
  <si>
    <t>W1 07-26</t>
  </si>
  <si>
    <t>1.8 Fondasi Aplikasi Mobile</t>
  </si>
  <si>
    <t>W1 02-26</t>
  </si>
  <si>
    <t>1.9 QR Code</t>
  </si>
  <si>
    <t>W1 03-26</t>
  </si>
  <si>
    <t>1.10 Penerimaan</t>
  </si>
  <si>
    <t>W3 03-26</t>
  </si>
  <si>
    <t>1.11 Pengeluaran</t>
  </si>
  <si>
    <t>W1 04-26</t>
  </si>
  <si>
    <t>1.12 Pemupukan</t>
  </si>
  <si>
    <t>W3 04-26</t>
  </si>
  <si>
    <t>1.13 Pengembalian Kemasan</t>
  </si>
  <si>
    <t>W1 05-26</t>
  </si>
  <si>
    <t>1.14 Uji Layak Pakai/Bayar</t>
  </si>
  <si>
    <t>W2 05-26</t>
  </si>
  <si>
    <t>1.15 Pengembalian Pupuk</t>
  </si>
  <si>
    <t>W3 05-26</t>
  </si>
  <si>
    <t>1.16 Transfer Posting</t>
  </si>
  <si>
    <t>W1 06-26</t>
  </si>
  <si>
    <t>1.17 AI Agent Chat (MVP)</t>
  </si>
  <si>
    <t>W4 05-26</t>
  </si>
  <si>
    <t>1.18 Offline Mode</t>
  </si>
  <si>
    <t>1.19 Perjalanan Dinas</t>
  </si>
  <si>
    <t>W3 09-25</t>
  </si>
  <si>
    <t>1.19.1 Pengenalan Dan Sosialisasi Aplikasi</t>
  </si>
  <si>
    <t>1.19.2 Dukungan Pengambilan Video Aplikasi</t>
  </si>
  <si>
    <t>W4 09-25</t>
  </si>
  <si>
    <t>1.19.3 Implementasi Modul Pre Reservasi dan Pemupukan pada Komoditi Sawit</t>
  </si>
  <si>
    <t>W2 02-26</t>
  </si>
  <si>
    <t>1.19.4 Implementasi Modul Pre Reservasi dan Pemupukan pada Komoditi Teh</t>
  </si>
  <si>
    <t>1.19.5 Implementasi Modul Pre Reservasi dan Pemupukan pada Komoditi Tebu</t>
  </si>
  <si>
    <t>W4 02-26</t>
  </si>
  <si>
    <t>1.19.6 Dukungan Pengambilan Video Aplikasi versi Culture</t>
  </si>
  <si>
    <t>W2 03-26</t>
  </si>
  <si>
    <t>1.19.7 Rollout GrowMate di PT SGN</t>
  </si>
  <si>
    <t>W2 07-26</t>
  </si>
  <si>
    <t>1.19.8 Rollout GrowMate di PalmCO</t>
  </si>
  <si>
    <t>1.20 Perbaikan pasca rollout</t>
  </si>
  <si>
    <t>W3 07-26</t>
  </si>
  <si>
    <t>1.20.1 Perbaikan pasca rollout SGN</t>
  </si>
  <si>
    <t>1.20.2 Perbaikan pasca rollout PalmCo</t>
  </si>
  <si>
    <t>W4 08-26</t>
  </si>
  <si>
    <t>1.21 Maintenance</t>
  </si>
  <si>
    <t>1.21.1 Menambahkan Display Name company pada laporan HPS dan membuat History Cetak</t>
  </si>
  <si>
    <t>1.22 Panduan</t>
  </si>
  <si>
    <t>1.22.1 Video Tutorial Mobile</t>
  </si>
  <si>
    <t>1.22.2 Manual Book Mobile</t>
  </si>
  <si>
    <t>W1 08-26</t>
  </si>
  <si>
    <t>1.22.3 Manual Book dan Video Tutorial Web</t>
  </si>
  <si>
    <t>W1 09-25</t>
  </si>
  <si>
    <t>W2 09-25</t>
  </si>
  <si>
    <t>2. RUP (Rencana Umum Pengadaan)</t>
  </si>
  <si>
    <t>W2 01-26</t>
  </si>
  <si>
    <t>2.1 Fondasi Aplikasi &amp; Setup Proyek</t>
  </si>
  <si>
    <t>W4 01-26</t>
  </si>
  <si>
    <t>2.2 Alur Persetujuan Berjenjang &amp; Fungsi Teknis</t>
  </si>
  <si>
    <t>2.3 Pengajuan RUP</t>
  </si>
  <si>
    <t>W3 01-26</t>
  </si>
  <si>
    <t>2.4 Pemaketan RUP</t>
  </si>
  <si>
    <t>2.5 Dashboard &amp; Statistik RUP</t>
  </si>
  <si>
    <t>2.6 Integrasi SAP CDS</t>
  </si>
  <si>
    <t>2.6.1 Material SAP</t>
  </si>
  <si>
    <t>2.6.2 Master Data &amp; Sinkronisasi SAP</t>
  </si>
  <si>
    <t>2.6.3 Stok Material: Sinkronisasi &amp; Dashboard Monitoring</t>
  </si>
  <si>
    <t>2.7 Import &amp; Export Excel</t>
  </si>
  <si>
    <t>2.8 Anggaran: WBS, GL Account &amp; Cost Center</t>
  </si>
  <si>
    <t>2.9 Pasca-RUPS &amp; Finalisasi</t>
  </si>
  <si>
    <t>2.10 Integrasi IPS</t>
  </si>
  <si>
    <t>2.10.1 Sinkronisasi Material dari IPS</t>
  </si>
  <si>
    <t>2.10.2 Purchase Requisition ke IPS</t>
  </si>
  <si>
    <t>2.10.3 Sync &amp; Validasi IPS pada Paket/Pengajuan</t>
  </si>
  <si>
    <t>W4 03-26</t>
  </si>
  <si>
    <t>2.11 Notifikasi</t>
  </si>
  <si>
    <t>2.12 Manajemen Pengguna &amp; Hak Akses</t>
  </si>
  <si>
    <t>2.13 Deployment</t>
  </si>
  <si>
    <t>2.14 Migrasi Data SGN</t>
  </si>
  <si>
    <t>3. Superman (Payment)</t>
  </si>
  <si>
    <t> </t>
  </si>
  <si>
    <t>3.1 Refactor Master Data &amp; Hak Akses</t>
  </si>
  <si>
    <t>3.2 Setup Server &amp; Kontainerisasi Docker</t>
  </si>
  <si>
    <t>3.3 Deployment Dokploy &amp; Auto-Deploy</t>
  </si>
  <si>
    <t>3.4 Migrasi Database dan Storage Desentralisasi</t>
  </si>
  <si>
    <t>W4 06-26</t>
  </si>
  <si>
    <t>3.5 Rollout Anak Perusahaan (PTPN1/PTPN4/PTSGN)</t>
  </si>
  <si>
    <t>3.6 Optimasi Memori &amp; Performa</t>
  </si>
  <si>
    <t>3.7 Maintenance Pasca Migrasi</t>
  </si>
  <si>
    <t>3.8 Perbaikan Form &amp; Cetak SPP</t>
  </si>
  <si>
    <t>3.9 Perbaikan Timezone &amp; Cutoff</t>
  </si>
  <si>
    <t>3.10 Verifikasi Email, 2FA &amp; Keamanan Akun</t>
  </si>
  <si>
    <t>4. Support App &amp; Server</t>
  </si>
  <si>
    <t>4.1 CRM - Docker &amp; Deploy Coolify</t>
  </si>
  <si>
    <t>4.1.1 CRM - Setup Docker &amp; Environment Dev</t>
  </si>
  <si>
    <t>W2 12-25</t>
  </si>
  <si>
    <t>4.1.2 CRM - Coolify &amp; Environment Produksi (PHP-FPM/SQL Server/Worker)</t>
  </si>
  <si>
    <t>4.1.3 CRM Analytic - Setup Docker &amp; Expose Port</t>
  </si>
  <si>
    <t>4.2 Aplikasi Hukum - Docker &amp; Deploy Coolify</t>
  </si>
  <si>
    <t>4.2.1 Aplikasi Hukum - Multi-stage Build &amp; Deploy Coolify</t>
  </si>
  <si>
    <t>4.2.2 Aplikasi Hukum - Compose Supervisord</t>
  </si>
  <si>
    <t>4.3 Arhan - Docker &amp; Deploy Coolify</t>
  </si>
  <si>
    <t>W3 06-26</t>
  </si>
  <si>
    <t>4.3.1 Arhan - Setup Docker</t>
  </si>
  <si>
    <t>4.3.2 Arhan - Tuning Deploy Coolify</t>
  </si>
  <si>
    <t>4.4 Supermental - Docker &amp; Deployment Dokploy</t>
  </si>
  <si>
    <t>4.5 IHCMIS - Docker &amp; Deploy Coolify</t>
  </si>
  <si>
    <t>4.5.1 IHCMIS Core - Setup &amp; Finalisasi Docker</t>
  </si>
  <si>
    <t>4.5.2 IHCMIS DPCS - Setup Docker</t>
  </si>
  <si>
    <t>4.5.3 IHCMIS ESS - Setup Docker &amp; Fix Relay</t>
  </si>
  <si>
    <t>4.5.4 IHCMIS IAM - Setup Docker</t>
  </si>
  <si>
    <t>4.5.5 IHCMIS OneAccess - Setup Docker</t>
  </si>
  <si>
    <t>4.5.6 IHCMIS DataControl - Setup Docker</t>
  </si>
  <si>
    <t>4.5.7 IHCMIS Initiative Tracker - Setup Docker</t>
  </si>
  <si>
    <t>4.5.8 IHCMIS ESS - Perbaikan Build Coolify</t>
  </si>
  <si>
    <t>4.5.9 IHCMIS Core - Filebrowser &amp; Permission Volume</t>
  </si>
  <si>
    <t>4.6 CCTV - Docker &amp; Deploy Coolify</t>
  </si>
  <si>
    <t>4.6.1 CCTV - Deploy Docker Coolify</t>
  </si>
  <si>
    <t>4.6.2 CCTV - Fix Permission Docker</t>
  </si>
  <si>
    <t>4.7 PTI - Fix Timeout Gateway</t>
  </si>
  <si>
    <t>4.8 ERIN - Deploy Single-Container Coolify</t>
  </si>
  <si>
    <t>4.9 RKAP - Tambah anggaran 2027</t>
  </si>
  <si>
    <t>5. PTPN API</t>
  </si>
  <si>
    <t>5.1 Membangun fondasi dan struktur</t>
  </si>
  <si>
    <t>5.2 Layar Master Data &amp; API v1</t>
  </si>
  <si>
    <t>5.3 API Client &amp; Manajemen Akses User</t>
  </si>
  <si>
    <t>5.4 Integrasi SAP CDS &amp; Sinkronisasi Harian</t>
  </si>
  <si>
    <t>5.5 Deployment Docker &amp; Coolify</t>
  </si>
  <si>
    <t>5.6 Hierarki Unit &amp; Filter Bertingkat</t>
  </si>
  <si>
    <t>5.7 Ekspor XLSX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</si>
</sst>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 Black"/>
      <family val="2"/>
    </font>
    <font>
      <sz val="14"/>
      <color theme="1"/>
      <name val="Arial"/>
      <family val="2"/>
    </font>
    <font>
      <b/>
      <sz val="14"/>
      <color rgb="FF000000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2"/>
      <name val="Arial"/>
    </font>
    <font>
      <sz val="12"/>
      <color rgb="FF000000"/>
      <name val="Arial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AF2D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8" applyFill="0">
      <alignment horizontal="center" vertical="center"/>
    </xf>
  </cellStyleXfs>
  <cellXfs count="125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9" fontId="7" fillId="0" borderId="1" xfId="0" applyNumberFormat="1" applyFont="1" applyBorder="1"/>
    <xf numFmtId="164" fontId="7" fillId="0" borderId="0" xfId="0" applyNumberFormat="1" applyFont="1"/>
    <xf numFmtId="0" fontId="0" fillId="0" borderId="1" xfId="0" applyBorder="1" applyAlignment="1">
      <alignment horizontal="left" vertical="center"/>
    </xf>
    <xf numFmtId="10" fontId="2" fillId="0" borderId="1" xfId="0" applyNumberFormat="1" applyFont="1" applyBorder="1" applyAlignment="1">
      <alignment horizontal="left" vertical="center"/>
    </xf>
    <xf numFmtId="9" fontId="7" fillId="0" borderId="1" xfId="0" applyNumberFormat="1" applyFont="1" applyBorder="1" applyAlignment="1">
      <alignment wrapText="1"/>
    </xf>
    <xf numFmtId="164" fontId="7" fillId="0" borderId="0" xfId="0" applyNumberFormat="1" applyFont="1" applyAlignment="1">
      <alignment wrapText="1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/>
    <xf numFmtId="9" fontId="7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 wrapText="1" indent="1"/>
    </xf>
    <xf numFmtId="0" fontId="7" fillId="4" borderId="6" xfId="0" applyFont="1" applyFill="1" applyBorder="1" applyAlignment="1">
      <alignment horizontal="left" wrapText="1" indent="1"/>
    </xf>
    <xf numFmtId="0" fontId="7" fillId="4" borderId="6" xfId="0" applyFont="1" applyFill="1" applyBorder="1"/>
    <xf numFmtId="0" fontId="7" fillId="4" borderId="6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wrapText="1"/>
    </xf>
    <xf numFmtId="9" fontId="12" fillId="5" borderId="1" xfId="0" applyNumberFormat="1" applyFont="1" applyFill="1" applyBorder="1"/>
    <xf numFmtId="0" fontId="12" fillId="5" borderId="1" xfId="0" applyFont="1" applyFill="1" applyBorder="1"/>
    <xf numFmtId="164" fontId="13" fillId="6" borderId="7" xfId="0" applyNumberFormat="1" applyFont="1" applyFill="1" applyBorder="1" applyAlignment="1">
      <alignment horizontal="center" vertical="center"/>
    </xf>
    <xf numFmtId="164" fontId="13" fillId="6" borderId="1" xfId="0" applyNumberFormat="1" applyFont="1" applyFill="1" applyBorder="1" applyAlignment="1">
      <alignment horizontal="center" vertical="center"/>
    </xf>
    <xf numFmtId="164" fontId="13" fillId="7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9" fontId="14" fillId="0" borderId="1" xfId="0" applyNumberFormat="1" applyFont="1" applyBorder="1"/>
    <xf numFmtId="0" fontId="14" fillId="0" borderId="1" xfId="0" applyFont="1" applyBorder="1"/>
    <xf numFmtId="164" fontId="7" fillId="6" borderId="7" xfId="1" applyFont="1" applyFill="1" applyBorder="1">
      <alignment horizontal="center" vertical="center"/>
    </xf>
    <xf numFmtId="164" fontId="7" fillId="6" borderId="1" xfId="1" applyFont="1" applyFill="1" applyBorder="1">
      <alignment horizontal="center" vertical="center"/>
    </xf>
    <xf numFmtId="164" fontId="7" fillId="8" borderId="1" xfId="1" applyFont="1" applyFill="1" applyBorder="1">
      <alignment horizontal="center" vertical="center"/>
    </xf>
    <xf numFmtId="164" fontId="7" fillId="0" borderId="1" xfId="1" applyFont="1" applyBorder="1">
      <alignment horizontal="center" vertical="center"/>
    </xf>
    <xf numFmtId="164" fontId="7" fillId="7" borderId="1" xfId="1" applyFont="1" applyFill="1" applyBorder="1">
      <alignment horizontal="center" vertical="center"/>
    </xf>
    <xf numFmtId="164" fontId="7" fillId="0" borderId="7" xfId="1" applyFont="1" applyBorder="1">
      <alignment horizontal="center" vertical="center"/>
    </xf>
    <xf numFmtId="164" fontId="15" fillId="0" borderId="7" xfId="1" applyFont="1" applyFill="1" applyBorder="1">
      <alignment horizontal="center" vertical="center"/>
    </xf>
    <xf numFmtId="164" fontId="15" fillId="0" borderId="1" xfId="1" applyFont="1" applyFill="1" applyBorder="1">
      <alignment horizontal="center" vertical="center"/>
    </xf>
    <xf numFmtId="164" fontId="15" fillId="6" borderId="1" xfId="1" applyFont="1" applyFill="1" applyBorder="1">
      <alignment horizontal="center" vertical="center"/>
    </xf>
    <xf numFmtId="164" fontId="15" fillId="8" borderId="1" xfId="1" applyFont="1" applyFill="1" applyBorder="1">
      <alignment horizontal="center" vertical="center"/>
    </xf>
    <xf numFmtId="164" fontId="15" fillId="7" borderId="1" xfId="1" applyFont="1" applyFill="1" applyBorder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164" fontId="7" fillId="0" borderId="1" xfId="1" applyFont="1" applyFill="1" applyBorder="1">
      <alignment horizontal="center" vertical="center"/>
    </xf>
    <xf numFmtId="0" fontId="4" fillId="0" borderId="7" xfId="0" applyFont="1" applyBorder="1"/>
    <xf numFmtId="0" fontId="4" fillId="0" borderId="1" xfId="0" applyFont="1" applyBorder="1"/>
    <xf numFmtId="0" fontId="4" fillId="6" borderId="1" xfId="0" applyFont="1" applyFill="1" applyBorder="1"/>
    <xf numFmtId="0" fontId="4" fillId="8" borderId="1" xfId="0" applyFont="1" applyFill="1" applyBorder="1"/>
    <xf numFmtId="0" fontId="4" fillId="7" borderId="1" xfId="0" applyFont="1" applyFill="1" applyBorder="1"/>
    <xf numFmtId="0" fontId="14" fillId="0" borderId="9" xfId="0" applyFont="1" applyBorder="1" applyAlignment="1">
      <alignment wrapText="1"/>
    </xf>
    <xf numFmtId="9" fontId="14" fillId="0" borderId="9" xfId="0" applyNumberFormat="1" applyFont="1" applyBorder="1"/>
    <xf numFmtId="0" fontId="14" fillId="0" borderId="9" xfId="0" applyFont="1" applyBorder="1"/>
    <xf numFmtId="0" fontId="4" fillId="0" borderId="10" xfId="0" applyFont="1" applyBorder="1"/>
    <xf numFmtId="0" fontId="4" fillId="0" borderId="9" xfId="0" applyFont="1" applyBorder="1"/>
    <xf numFmtId="0" fontId="4" fillId="6" borderId="9" xfId="0" applyFont="1" applyFill="1" applyBorder="1"/>
    <xf numFmtId="0" fontId="4" fillId="7" borderId="9" xfId="0" applyFont="1" applyFill="1" applyBorder="1"/>
    <xf numFmtId="0" fontId="4" fillId="8" borderId="9" xfId="0" applyFont="1" applyFill="1" applyBorder="1"/>
    <xf numFmtId="0" fontId="4" fillId="0" borderId="11" xfId="0" applyFont="1" applyBorder="1"/>
    <xf numFmtId="0" fontId="4" fillId="7" borderId="10" xfId="0" applyFont="1" applyFill="1" applyBorder="1"/>
    <xf numFmtId="0" fontId="14" fillId="0" borderId="9" xfId="0" applyFont="1" applyBorder="1" applyAlignment="1">
      <alignment vertical="top" wrapText="1"/>
    </xf>
    <xf numFmtId="9" fontId="14" fillId="0" borderId="9" xfId="0" applyNumberFormat="1" applyFont="1" applyBorder="1" applyAlignment="1">
      <alignment vertical="top"/>
    </xf>
    <xf numFmtId="0" fontId="1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8" borderId="1" xfId="0" applyFont="1" applyFill="1" applyBorder="1" applyAlignment="1">
      <alignment vertical="top"/>
    </xf>
    <xf numFmtId="0" fontId="4" fillId="7" borderId="10" xfId="0" applyFont="1" applyFill="1" applyBorder="1" applyAlignment="1">
      <alignment vertical="top"/>
    </xf>
    <xf numFmtId="0" fontId="4" fillId="7" borderId="9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12" xfId="0" applyFont="1" applyBorder="1" applyAlignment="1">
      <alignment vertical="top"/>
    </xf>
    <xf numFmtId="0" fontId="4" fillId="6" borderId="12" xfId="0" applyFont="1" applyFill="1" applyBorder="1" applyAlignment="1">
      <alignment vertical="top"/>
    </xf>
    <xf numFmtId="0" fontId="4" fillId="8" borderId="12" xfId="0" applyFont="1" applyFill="1" applyBorder="1" applyAlignment="1">
      <alignment vertical="top"/>
    </xf>
    <xf numFmtId="0" fontId="4" fillId="6" borderId="9" xfId="0" applyFont="1" applyFill="1" applyBorder="1" applyAlignment="1">
      <alignment vertical="top"/>
    </xf>
    <xf numFmtId="0" fontId="4" fillId="8" borderId="9" xfId="0" applyFont="1" applyFill="1" applyBorder="1" applyAlignment="1">
      <alignment vertical="top"/>
    </xf>
    <xf numFmtId="0" fontId="17" fillId="7" borderId="1" xfId="0" applyFont="1" applyFill="1" applyBorder="1" applyAlignment="1">
      <alignment wrapText="1"/>
    </xf>
    <xf numFmtId="9" fontId="17" fillId="7" borderId="1" xfId="0" applyNumberFormat="1" applyFont="1" applyFill="1" applyBorder="1"/>
    <xf numFmtId="0" fontId="17" fillId="7" borderId="1" xfId="0" applyFont="1" applyFill="1" applyBorder="1"/>
    <xf numFmtId="0" fontId="4" fillId="0" borderId="12" xfId="0" applyFont="1" applyBorder="1"/>
    <xf numFmtId="0" fontId="18" fillId="0" borderId="1" xfId="0" applyFont="1" applyBorder="1" applyAlignment="1">
      <alignment wrapText="1"/>
    </xf>
    <xf numFmtId="9" fontId="18" fillId="0" borderId="1" xfId="0" applyNumberFormat="1" applyFont="1" applyBorder="1"/>
    <xf numFmtId="0" fontId="18" fillId="0" borderId="1" xfId="0" applyFont="1" applyBorder="1"/>
    <xf numFmtId="0" fontId="18" fillId="0" borderId="9" xfId="0" applyFont="1" applyBorder="1" applyAlignment="1">
      <alignment wrapText="1"/>
    </xf>
    <xf numFmtId="9" fontId="18" fillId="0" borderId="9" xfId="0" applyNumberFormat="1" applyFont="1" applyBorder="1"/>
    <xf numFmtId="0" fontId="18" fillId="0" borderId="9" xfId="0" applyFont="1" applyBorder="1"/>
    <xf numFmtId="0" fontId="18" fillId="7" borderId="1" xfId="0" applyFont="1" applyFill="1" applyBorder="1"/>
    <xf numFmtId="0" fontId="18" fillId="9" borderId="1" xfId="0" applyFont="1" applyFill="1" applyBorder="1"/>
    <xf numFmtId="0" fontId="18" fillId="8" borderId="1" xfId="0" applyFont="1" applyFill="1" applyBorder="1"/>
    <xf numFmtId="0" fontId="18" fillId="8" borderId="9" xfId="0" applyFont="1" applyFill="1" applyBorder="1"/>
    <xf numFmtId="0" fontId="12" fillId="7" borderId="5" xfId="0" applyFont="1" applyFill="1" applyBorder="1" applyAlignment="1">
      <alignment wrapText="1"/>
    </xf>
    <xf numFmtId="9" fontId="12" fillId="7" borderId="4" xfId="0" applyNumberFormat="1" applyFont="1" applyFill="1" applyBorder="1"/>
    <xf numFmtId="0" fontId="12" fillId="7" borderId="4" xfId="0" applyFont="1" applyFill="1" applyBorder="1"/>
    <xf numFmtId="0" fontId="12" fillId="7" borderId="3" xfId="0" applyFont="1" applyFill="1" applyBorder="1"/>
    <xf numFmtId="0" fontId="14" fillId="9" borderId="4" xfId="0" applyFont="1" applyFill="1" applyBorder="1"/>
    <xf numFmtId="0" fontId="14" fillId="8" borderId="3" xfId="0" applyFont="1" applyFill="1" applyBorder="1"/>
    <xf numFmtId="0" fontId="14" fillId="0" borderId="13" xfId="0" applyFont="1" applyBorder="1" applyAlignment="1">
      <alignment wrapText="1"/>
    </xf>
    <xf numFmtId="9" fontId="14" fillId="0" borderId="14" xfId="0" applyNumberFormat="1" applyFont="1" applyBorder="1"/>
    <xf numFmtId="0" fontId="14" fillId="0" borderId="14" xfId="0" applyFont="1" applyBorder="1"/>
    <xf numFmtId="0" fontId="14" fillId="0" borderId="15" xfId="0" applyFont="1" applyBorder="1"/>
    <xf numFmtId="0" fontId="14" fillId="9" borderId="14" xfId="0" applyFont="1" applyFill="1" applyBorder="1"/>
    <xf numFmtId="0" fontId="14" fillId="8" borderId="14" xfId="0" applyFont="1" applyFill="1" applyBorder="1"/>
    <xf numFmtId="0" fontId="14" fillId="8" borderId="15" xfId="0" applyFont="1" applyFill="1" applyBorder="1"/>
    <xf numFmtId="0" fontId="14" fillId="0" borderId="16" xfId="0" applyFont="1" applyBorder="1" applyAlignment="1">
      <alignment wrapText="1"/>
    </xf>
    <xf numFmtId="9" fontId="14" fillId="0" borderId="17" xfId="0" applyNumberFormat="1" applyFont="1" applyBorder="1"/>
    <xf numFmtId="0" fontId="14" fillId="0" borderId="17" xfId="0" applyFont="1" applyBorder="1"/>
    <xf numFmtId="0" fontId="14" fillId="0" borderId="0" xfId="0" applyFont="1"/>
    <xf numFmtId="0" fontId="14" fillId="8" borderId="17" xfId="0" applyFont="1" applyFill="1" applyBorder="1"/>
    <xf numFmtId="0" fontId="19" fillId="7" borderId="1" xfId="0" applyFont="1" applyFill="1" applyBorder="1"/>
    <xf numFmtId="0" fontId="20" fillId="9" borderId="1" xfId="0" applyFont="1" applyFill="1" applyBorder="1"/>
    <xf numFmtId="0" fontId="20" fillId="8" borderId="1" xfId="0" applyFont="1" applyFill="1" applyBorder="1"/>
    <xf numFmtId="0" fontId="20" fillId="0" borderId="1" xfId="0" applyFont="1" applyBorder="1"/>
  </cellXfs>
  <cellStyles count="2">
    <cellStyle name="Date" xfId="1" xr:uid="{C28FB87F-F97B-486F-88FF-7D74B48A76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1AAE-991B-462B-AFE6-81BF06ABA47C}">
  <dimension ref="B2:CC132"/>
  <sheetViews>
    <sheetView tabSelected="1" zoomScale="58" workbookViewId="0">
      <selection activeCell="W4" sqref="W4"/>
    </sheetView>
  </sheetViews>
  <sheetFormatPr defaultColWidth="3.1796875" defaultRowHeight="17.5" x14ac:dyDescent="0.35"/>
  <cols>
    <col min="1" max="1" width="4.81640625" style="2" customWidth="1"/>
    <col min="2" max="2" width="49.1796875" style="3" bestFit="1" customWidth="1"/>
    <col min="3" max="3" width="15.1796875" style="2" customWidth="1"/>
    <col min="4" max="5" width="10.7265625" style="2" customWidth="1"/>
    <col min="6" max="6" width="5.81640625" style="2" bestFit="1" customWidth="1"/>
    <col min="7" max="33" width="3.1796875" style="2"/>
    <col min="34" max="34" width="6.81640625" style="2" bestFit="1" customWidth="1"/>
    <col min="35" max="39" width="3.1796875" style="2"/>
    <col min="40" max="43" width="8.26953125" style="2" bestFit="1" customWidth="1"/>
    <col min="44" max="16384" width="3.1796875" style="2"/>
  </cols>
  <sheetData>
    <row r="2" spans="2:81" ht="22" x14ac:dyDescent="0.65">
      <c r="B2" s="1" t="s">
        <v>0</v>
      </c>
    </row>
    <row r="3" spans="2:81" x14ac:dyDescent="0.35">
      <c r="B3" s="3" t="s">
        <v>1</v>
      </c>
    </row>
    <row r="5" spans="2:81" ht="18" x14ac:dyDescent="0.4">
      <c r="B5" s="4" t="s">
        <v>2</v>
      </c>
      <c r="C5" s="5" t="s">
        <v>3</v>
      </c>
      <c r="D5" s="6"/>
      <c r="E5" s="7" t="s">
        <v>4</v>
      </c>
      <c r="F5" s="7"/>
      <c r="G5" s="7"/>
      <c r="H5" s="7"/>
      <c r="I5" s="7"/>
      <c r="J5" s="7"/>
      <c r="K5" s="7"/>
      <c r="L5" s="7"/>
      <c r="M5" s="7"/>
      <c r="N5" s="7"/>
    </row>
    <row r="6" spans="2:81" x14ac:dyDescent="0.35">
      <c r="B6" s="8" t="str">
        <f>B17</f>
        <v>1. GrowMate</v>
      </c>
      <c r="C6" s="9">
        <f>C17</f>
        <v>0.98</v>
      </c>
      <c r="D6" s="10"/>
      <c r="E6" s="11" t="s">
        <v>5</v>
      </c>
      <c r="F6" s="11"/>
      <c r="G6" s="11"/>
      <c r="H6" s="11"/>
      <c r="I6" s="11"/>
      <c r="J6" s="11"/>
      <c r="K6" s="12">
        <f>AVERAGEIFS(C6:C12,C6:C12, "&gt;0")</f>
        <v>0.99600000000000011</v>
      </c>
      <c r="L6" s="12"/>
      <c r="M6" s="12"/>
      <c r="N6" s="12"/>
    </row>
    <row r="7" spans="2:81" x14ac:dyDescent="0.35">
      <c r="B7" s="8" t="str">
        <f>B65</f>
        <v>2. RUP (Rencana Umum Pengadaan)</v>
      </c>
      <c r="C7" s="13">
        <f>C65</f>
        <v>1</v>
      </c>
      <c r="D7" s="14"/>
      <c r="E7" s="11" t="s">
        <v>6</v>
      </c>
      <c r="F7" s="11"/>
      <c r="G7" s="11"/>
      <c r="H7" s="11"/>
      <c r="I7" s="11"/>
      <c r="J7" s="11"/>
      <c r="K7" s="15">
        <f>COUNTA(B17:B454) - COUNTA(B6:B12)</f>
        <v>111</v>
      </c>
      <c r="L7" s="15"/>
      <c r="M7" s="15"/>
      <c r="N7" s="15"/>
    </row>
    <row r="8" spans="2:81" x14ac:dyDescent="0.35">
      <c r="B8" s="8" t="str">
        <f>B86</f>
        <v>3. Superman (Payment)</v>
      </c>
      <c r="C8" s="13">
        <f>C86</f>
        <v>1</v>
      </c>
      <c r="D8" s="14"/>
      <c r="E8" s="11" t="s">
        <v>7</v>
      </c>
      <c r="F8" s="11"/>
      <c r="G8" s="11"/>
      <c r="H8" s="11"/>
      <c r="I8" s="11"/>
      <c r="J8" s="11"/>
      <c r="K8" s="16">
        <f>COUNTIF(C17:C454, "100%") - COUNTA(B6:B12)</f>
        <v>109</v>
      </c>
      <c r="L8" s="16"/>
      <c r="M8" s="16"/>
      <c r="N8" s="16"/>
    </row>
    <row r="9" spans="2:81" x14ac:dyDescent="0.35">
      <c r="B9" s="8" t="str">
        <f>B97</f>
        <v>4. Support App &amp; Server</v>
      </c>
      <c r="C9" s="13">
        <f>C97</f>
        <v>1</v>
      </c>
      <c r="D9" s="14"/>
      <c r="E9" s="17" t="s">
        <v>8</v>
      </c>
      <c r="F9" s="17"/>
      <c r="G9" s="17"/>
      <c r="H9" s="17"/>
      <c r="I9" s="17"/>
      <c r="J9" s="17"/>
      <c r="K9" s="15">
        <f>COUNTIF(C17:C454, "&lt;100%")</f>
        <v>2</v>
      </c>
      <c r="L9" s="15"/>
      <c r="M9" s="15"/>
      <c r="N9" s="15"/>
    </row>
    <row r="10" spans="2:81" x14ac:dyDescent="0.35">
      <c r="B10" s="18" t="str">
        <f>B125</f>
        <v>5. PTPN API</v>
      </c>
      <c r="C10" s="13">
        <f>C125</f>
        <v>1</v>
      </c>
      <c r="D10" s="14"/>
      <c r="E10" s="19"/>
      <c r="F10" s="20"/>
      <c r="G10" s="20"/>
      <c r="H10" s="20"/>
      <c r="I10" s="20"/>
      <c r="J10" s="20"/>
    </row>
    <row r="11" spans="2:81" x14ac:dyDescent="0.35">
      <c r="B11" s="21"/>
      <c r="C11" s="22"/>
      <c r="D11" s="14"/>
      <c r="E11" s="19"/>
      <c r="F11" s="20"/>
      <c r="G11" s="20"/>
      <c r="H11" s="20"/>
      <c r="I11" s="20"/>
      <c r="J11" s="20"/>
    </row>
    <row r="12" spans="2:81" x14ac:dyDescent="0.35">
      <c r="B12" s="21"/>
      <c r="C12" s="22"/>
      <c r="D12" s="14"/>
      <c r="E12" s="19"/>
      <c r="F12" s="20"/>
      <c r="G12" s="20"/>
      <c r="H12" s="20"/>
      <c r="I12" s="20"/>
      <c r="J12" s="20"/>
    </row>
    <row r="13" spans="2:81" x14ac:dyDescent="0.35">
      <c r="B13" s="23"/>
      <c r="C13" s="24"/>
      <c r="D13" s="24"/>
      <c r="E13" s="24"/>
      <c r="F13" s="24"/>
      <c r="G13" s="24"/>
      <c r="H13" s="24"/>
      <c r="I13" s="24"/>
      <c r="J13" s="24"/>
    </row>
    <row r="14" spans="2:81" x14ac:dyDescent="0.35">
      <c r="B14" s="23"/>
      <c r="C14" s="24"/>
      <c r="D14" s="24"/>
      <c r="E14" s="24"/>
      <c r="F14" s="25">
        <v>2025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7"/>
      <c r="AH14" s="28">
        <v>2026</v>
      </c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</row>
    <row r="15" spans="2:81" x14ac:dyDescent="0.35">
      <c r="B15" s="29" t="s">
        <v>9</v>
      </c>
      <c r="C15" s="28" t="s">
        <v>10</v>
      </c>
      <c r="D15" s="28" t="s">
        <v>11</v>
      </c>
      <c r="E15" s="28" t="s">
        <v>12</v>
      </c>
      <c r="F15" s="25" t="s">
        <v>13</v>
      </c>
      <c r="G15" s="26"/>
      <c r="H15" s="26"/>
      <c r="I15" s="27"/>
      <c r="J15" s="25" t="s">
        <v>14</v>
      </c>
      <c r="K15" s="26"/>
      <c r="L15" s="26"/>
      <c r="M15" s="27"/>
      <c r="N15" s="25" t="s">
        <v>15</v>
      </c>
      <c r="O15" s="26"/>
      <c r="P15" s="26"/>
      <c r="Q15" s="27"/>
      <c r="R15" s="25" t="s">
        <v>16</v>
      </c>
      <c r="S15" s="26"/>
      <c r="T15" s="26"/>
      <c r="U15" s="27"/>
      <c r="V15" s="25" t="s">
        <v>17</v>
      </c>
      <c r="W15" s="26"/>
      <c r="X15" s="26"/>
      <c r="Y15" s="27"/>
      <c r="Z15" s="25" t="s">
        <v>18</v>
      </c>
      <c r="AA15" s="26"/>
      <c r="AB15" s="26"/>
      <c r="AC15" s="27"/>
      <c r="AD15" s="25" t="s">
        <v>19</v>
      </c>
      <c r="AE15" s="26"/>
      <c r="AF15" s="26"/>
      <c r="AG15" s="27"/>
      <c r="AH15" s="25" t="s">
        <v>20</v>
      </c>
      <c r="AI15" s="26"/>
      <c r="AJ15" s="26"/>
      <c r="AK15" s="27"/>
      <c r="AL15" s="25" t="s">
        <v>21</v>
      </c>
      <c r="AM15" s="26"/>
      <c r="AN15" s="26"/>
      <c r="AO15" s="27"/>
      <c r="AP15" s="25" t="s">
        <v>22</v>
      </c>
      <c r="AQ15" s="26"/>
      <c r="AR15" s="26"/>
      <c r="AS15" s="27"/>
      <c r="AT15" s="25" t="s">
        <v>23</v>
      </c>
      <c r="AU15" s="26"/>
      <c r="AV15" s="26"/>
      <c r="AW15" s="27"/>
      <c r="AX15" s="25" t="s">
        <v>24</v>
      </c>
      <c r="AY15" s="26"/>
      <c r="AZ15" s="26"/>
      <c r="BA15" s="27"/>
      <c r="BB15" s="25" t="s">
        <v>13</v>
      </c>
      <c r="BC15" s="26"/>
      <c r="BD15" s="26"/>
      <c r="BE15" s="27"/>
      <c r="BF15" s="25" t="s">
        <v>14</v>
      </c>
      <c r="BG15" s="26"/>
      <c r="BH15" s="26"/>
      <c r="BI15" s="27"/>
      <c r="BJ15" s="25" t="s">
        <v>15</v>
      </c>
      <c r="BK15" s="26"/>
      <c r="BL15" s="26"/>
      <c r="BM15" s="27"/>
      <c r="BN15" s="25" t="s">
        <v>16</v>
      </c>
      <c r="BO15" s="26"/>
      <c r="BP15" s="26"/>
      <c r="BQ15" s="27"/>
      <c r="BR15" s="25" t="s">
        <v>17</v>
      </c>
      <c r="BS15" s="26"/>
      <c r="BT15" s="26"/>
      <c r="BU15" s="27"/>
      <c r="BV15" s="25" t="s">
        <v>18</v>
      </c>
      <c r="BW15" s="26"/>
      <c r="BX15" s="26"/>
      <c r="BY15" s="27"/>
      <c r="BZ15" s="25" t="s">
        <v>19</v>
      </c>
      <c r="CA15" s="26"/>
      <c r="CB15" s="26"/>
      <c r="CC15" s="27"/>
    </row>
    <row r="16" spans="2:81" x14ac:dyDescent="0.35">
      <c r="B16" s="30"/>
      <c r="C16" s="31"/>
      <c r="D16" s="31"/>
      <c r="E16" s="31"/>
      <c r="F16" s="32">
        <v>1</v>
      </c>
      <c r="G16" s="32">
        <v>2</v>
      </c>
      <c r="H16" s="32">
        <v>3</v>
      </c>
      <c r="I16" s="32">
        <v>4</v>
      </c>
      <c r="J16" s="32">
        <v>1</v>
      </c>
      <c r="K16" s="32">
        <v>2</v>
      </c>
      <c r="L16" s="32">
        <v>3</v>
      </c>
      <c r="M16" s="32">
        <v>4</v>
      </c>
      <c r="N16" s="32">
        <v>1</v>
      </c>
      <c r="O16" s="32">
        <v>2</v>
      </c>
      <c r="P16" s="32">
        <v>3</v>
      </c>
      <c r="Q16" s="32">
        <v>4</v>
      </c>
      <c r="R16" s="32">
        <v>1</v>
      </c>
      <c r="S16" s="32">
        <v>2</v>
      </c>
      <c r="T16" s="32">
        <v>3</v>
      </c>
      <c r="U16" s="32">
        <v>4</v>
      </c>
      <c r="V16" s="32">
        <v>1</v>
      </c>
      <c r="W16" s="32">
        <v>2</v>
      </c>
      <c r="X16" s="32">
        <v>3</v>
      </c>
      <c r="Y16" s="32">
        <v>4</v>
      </c>
      <c r="Z16" s="32">
        <v>1</v>
      </c>
      <c r="AA16" s="32">
        <v>2</v>
      </c>
      <c r="AB16" s="32">
        <v>3</v>
      </c>
      <c r="AC16" s="32">
        <v>4</v>
      </c>
      <c r="AD16" s="32">
        <v>1</v>
      </c>
      <c r="AE16" s="32">
        <v>2</v>
      </c>
      <c r="AF16" s="32">
        <v>3</v>
      </c>
      <c r="AG16" s="32">
        <v>4</v>
      </c>
      <c r="AH16" s="32">
        <v>1</v>
      </c>
      <c r="AI16" s="32">
        <v>2</v>
      </c>
      <c r="AJ16" s="32">
        <v>3</v>
      </c>
      <c r="AK16" s="32">
        <v>4</v>
      </c>
      <c r="AL16" s="32">
        <v>1</v>
      </c>
      <c r="AM16" s="32">
        <v>2</v>
      </c>
      <c r="AN16" s="32">
        <v>3</v>
      </c>
      <c r="AO16" s="32">
        <v>4</v>
      </c>
      <c r="AP16" s="32">
        <v>1</v>
      </c>
      <c r="AQ16" s="32">
        <v>2</v>
      </c>
      <c r="AR16" s="32">
        <v>3</v>
      </c>
      <c r="AS16" s="32">
        <v>4</v>
      </c>
      <c r="AT16" s="32">
        <v>1</v>
      </c>
      <c r="AU16" s="32">
        <v>2</v>
      </c>
      <c r="AV16" s="32">
        <v>3</v>
      </c>
      <c r="AW16" s="32">
        <v>4</v>
      </c>
      <c r="AX16" s="32">
        <v>1</v>
      </c>
      <c r="AY16" s="32">
        <v>2</v>
      </c>
      <c r="AZ16" s="32">
        <v>3</v>
      </c>
      <c r="BA16" s="32">
        <v>4</v>
      </c>
      <c r="BB16" s="32">
        <v>1</v>
      </c>
      <c r="BC16" s="32">
        <v>2</v>
      </c>
      <c r="BD16" s="32">
        <v>3</v>
      </c>
      <c r="BE16" s="32">
        <v>4</v>
      </c>
      <c r="BF16" s="32">
        <v>1</v>
      </c>
      <c r="BG16" s="32">
        <v>2</v>
      </c>
      <c r="BH16" s="32">
        <v>3</v>
      </c>
      <c r="BI16" s="32">
        <v>4</v>
      </c>
      <c r="BJ16" s="32">
        <v>1</v>
      </c>
      <c r="BK16" s="32">
        <v>2</v>
      </c>
      <c r="BL16" s="32">
        <v>3</v>
      </c>
      <c r="BM16" s="32">
        <v>4</v>
      </c>
      <c r="BN16" s="32">
        <v>1</v>
      </c>
      <c r="BO16" s="32">
        <v>2</v>
      </c>
      <c r="BP16" s="32">
        <v>3</v>
      </c>
      <c r="BQ16" s="32">
        <v>4</v>
      </c>
      <c r="BR16" s="32">
        <v>1</v>
      </c>
      <c r="BS16" s="32">
        <v>2</v>
      </c>
      <c r="BT16" s="32">
        <v>3</v>
      </c>
      <c r="BU16" s="32">
        <v>4</v>
      </c>
      <c r="BV16" s="32">
        <v>1</v>
      </c>
      <c r="BW16" s="32">
        <v>2</v>
      </c>
      <c r="BX16" s="32">
        <v>3</v>
      </c>
      <c r="BY16" s="32">
        <v>4</v>
      </c>
      <c r="BZ16" s="32">
        <v>1</v>
      </c>
      <c r="CA16" s="32">
        <v>2</v>
      </c>
      <c r="CB16" s="32">
        <v>3</v>
      </c>
      <c r="CC16" s="32">
        <v>4</v>
      </c>
    </row>
    <row r="17" spans="2:81" x14ac:dyDescent="0.35">
      <c r="B17" s="33" t="s">
        <v>25</v>
      </c>
      <c r="C17" s="34">
        <v>0.98</v>
      </c>
      <c r="D17" s="35" t="s">
        <v>26</v>
      </c>
      <c r="E17" s="35" t="s">
        <v>27</v>
      </c>
      <c r="F17" s="36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</row>
    <row r="18" spans="2:81" x14ac:dyDescent="0.35">
      <c r="B18" s="39" t="s">
        <v>28</v>
      </c>
      <c r="C18" s="40">
        <v>1</v>
      </c>
      <c r="D18" s="41" t="s">
        <v>26</v>
      </c>
      <c r="E18" s="41" t="s">
        <v>29</v>
      </c>
      <c r="F18" s="42"/>
      <c r="G18" s="43"/>
      <c r="H18" s="43"/>
      <c r="I18" s="44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</row>
    <row r="19" spans="2:81" x14ac:dyDescent="0.35">
      <c r="B19" s="39" t="s">
        <v>30</v>
      </c>
      <c r="C19" s="40">
        <v>1</v>
      </c>
      <c r="D19" s="41" t="s">
        <v>26</v>
      </c>
      <c r="E19" s="41" t="s">
        <v>31</v>
      </c>
      <c r="F19" s="42"/>
      <c r="G19" s="43"/>
      <c r="H19" s="43"/>
      <c r="I19" s="43"/>
      <c r="J19" s="43"/>
      <c r="K19" s="43"/>
      <c r="L19" s="43"/>
      <c r="M19" s="44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</row>
    <row r="20" spans="2:81" x14ac:dyDescent="0.35">
      <c r="B20" s="39" t="s">
        <v>32</v>
      </c>
      <c r="C20" s="40">
        <v>1</v>
      </c>
      <c r="D20" s="41" t="s">
        <v>33</v>
      </c>
      <c r="E20" s="41" t="s">
        <v>34</v>
      </c>
      <c r="F20" s="47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</row>
    <row r="21" spans="2:81" x14ac:dyDescent="0.35">
      <c r="B21" s="39" t="s">
        <v>35</v>
      </c>
      <c r="C21" s="40">
        <v>1</v>
      </c>
      <c r="D21" s="41" t="s">
        <v>36</v>
      </c>
      <c r="E21" s="41" t="s">
        <v>27</v>
      </c>
      <c r="F21" s="48"/>
      <c r="G21" s="4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1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</row>
    <row r="22" spans="2:81" x14ac:dyDescent="0.35">
      <c r="B22" s="39" t="s">
        <v>37</v>
      </c>
      <c r="C22" s="40">
        <v>1</v>
      </c>
      <c r="D22" s="41" t="s">
        <v>36</v>
      </c>
      <c r="E22" s="41" t="s">
        <v>38</v>
      </c>
      <c r="F22" s="48"/>
      <c r="G22" s="49"/>
      <c r="H22" s="49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1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</row>
    <row r="23" spans="2:81" x14ac:dyDescent="0.35">
      <c r="B23" s="39" t="s">
        <v>39</v>
      </c>
      <c r="C23" s="40">
        <v>1</v>
      </c>
      <c r="D23" s="41" t="s">
        <v>40</v>
      </c>
      <c r="E23" s="41" t="s">
        <v>41</v>
      </c>
      <c r="F23" s="48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51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</row>
    <row r="24" spans="2:81" x14ac:dyDescent="0.35">
      <c r="B24" s="39" t="s">
        <v>42</v>
      </c>
      <c r="C24" s="40">
        <v>1</v>
      </c>
      <c r="D24" s="41" t="s">
        <v>43</v>
      </c>
      <c r="E24" s="41" t="s">
        <v>27</v>
      </c>
      <c r="F24" s="53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5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</row>
    <row r="25" spans="2:81" x14ac:dyDescent="0.35">
      <c r="B25" s="39" t="s">
        <v>44</v>
      </c>
      <c r="C25" s="40">
        <v>1</v>
      </c>
      <c r="D25" s="41" t="s">
        <v>29</v>
      </c>
      <c r="E25" s="41" t="s">
        <v>41</v>
      </c>
      <c r="F25" s="48"/>
      <c r="G25" s="49"/>
      <c r="H25" s="49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1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</row>
    <row r="26" spans="2:81" x14ac:dyDescent="0.35">
      <c r="B26" s="39" t="s">
        <v>45</v>
      </c>
      <c r="C26" s="40">
        <v>1</v>
      </c>
      <c r="D26" s="41" t="s">
        <v>29</v>
      </c>
      <c r="E26" s="41" t="s">
        <v>46</v>
      </c>
      <c r="F26" s="48"/>
      <c r="G26" s="49"/>
      <c r="H26" s="49"/>
      <c r="I26" s="50"/>
      <c r="J26" s="51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</row>
    <row r="27" spans="2:81" x14ac:dyDescent="0.35">
      <c r="B27" s="39" t="s">
        <v>47</v>
      </c>
      <c r="C27" s="40">
        <v>1</v>
      </c>
      <c r="D27" s="41" t="s">
        <v>48</v>
      </c>
      <c r="E27" s="41" t="s">
        <v>48</v>
      </c>
      <c r="F27" s="48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51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</row>
    <row r="28" spans="2:81" x14ac:dyDescent="0.35">
      <c r="B28" s="39" t="s">
        <v>49</v>
      </c>
      <c r="C28" s="40">
        <v>1</v>
      </c>
      <c r="D28" s="41" t="s">
        <v>41</v>
      </c>
      <c r="E28" s="41" t="s">
        <v>41</v>
      </c>
      <c r="F28" s="48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51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</row>
    <row r="29" spans="2:81" x14ac:dyDescent="0.35">
      <c r="B29" s="39" t="s">
        <v>50</v>
      </c>
      <c r="C29" s="40">
        <v>1</v>
      </c>
      <c r="D29" s="41" t="s">
        <v>51</v>
      </c>
      <c r="E29" s="41" t="s">
        <v>52</v>
      </c>
      <c r="F29" s="48"/>
      <c r="G29" s="49"/>
      <c r="H29" s="49"/>
      <c r="I29" s="49"/>
      <c r="J29" s="49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44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</row>
    <row r="30" spans="2:81" x14ac:dyDescent="0.35">
      <c r="B30" s="39" t="s">
        <v>53</v>
      </c>
      <c r="C30" s="40">
        <v>1</v>
      </c>
      <c r="D30" s="41" t="s">
        <v>52</v>
      </c>
      <c r="E30" s="41" t="s">
        <v>52</v>
      </c>
      <c r="F30" s="48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57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51"/>
      <c r="BL30" s="49"/>
      <c r="BM30" s="49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</row>
    <row r="31" spans="2:81" x14ac:dyDescent="0.35">
      <c r="B31" s="39" t="s">
        <v>54</v>
      </c>
      <c r="C31" s="40">
        <v>1</v>
      </c>
      <c r="D31" s="41" t="s">
        <v>55</v>
      </c>
      <c r="E31" s="41" t="s">
        <v>31</v>
      </c>
      <c r="F31" s="48"/>
      <c r="G31" s="49"/>
      <c r="H31" s="49"/>
      <c r="I31" s="49"/>
      <c r="J31" s="49"/>
      <c r="K31" s="49"/>
      <c r="L31" s="49"/>
      <c r="M31" s="49"/>
      <c r="N31" s="49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1"/>
      <c r="BJ31" s="49"/>
      <c r="BK31" s="49"/>
      <c r="BL31" s="49"/>
      <c r="BM31" s="49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</row>
    <row r="32" spans="2:81" x14ac:dyDescent="0.35">
      <c r="B32" s="39" t="s">
        <v>56</v>
      </c>
      <c r="C32" s="40">
        <v>1</v>
      </c>
      <c r="D32" s="41" t="s">
        <v>55</v>
      </c>
      <c r="E32" s="41" t="s">
        <v>57</v>
      </c>
      <c r="F32" s="48"/>
      <c r="G32" s="49"/>
      <c r="H32" s="49"/>
      <c r="I32" s="49"/>
      <c r="J32" s="49"/>
      <c r="K32" s="49"/>
      <c r="L32" s="49"/>
      <c r="M32" s="49"/>
      <c r="N32" s="49"/>
      <c r="O32" s="50"/>
      <c r="P32" s="50"/>
      <c r="Q32" s="51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</row>
    <row r="33" spans="2:81" ht="31" x14ac:dyDescent="0.35">
      <c r="B33" s="39" t="s">
        <v>58</v>
      </c>
      <c r="C33" s="40">
        <v>1</v>
      </c>
      <c r="D33" s="41" t="s">
        <v>59</v>
      </c>
      <c r="E33" s="41" t="s">
        <v>60</v>
      </c>
      <c r="F33" s="48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1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</row>
    <row r="34" spans="2:81" x14ac:dyDescent="0.35">
      <c r="B34" s="39" t="s">
        <v>61</v>
      </c>
      <c r="C34" s="40">
        <v>1</v>
      </c>
      <c r="D34" s="41" t="s">
        <v>43</v>
      </c>
      <c r="E34" s="41" t="s">
        <v>43</v>
      </c>
      <c r="F34" s="53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5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</row>
    <row r="35" spans="2:81" x14ac:dyDescent="0.35">
      <c r="B35" s="39" t="s">
        <v>62</v>
      </c>
      <c r="C35" s="40">
        <v>1</v>
      </c>
      <c r="D35" s="41" t="s">
        <v>63</v>
      </c>
      <c r="E35" s="41" t="s">
        <v>63</v>
      </c>
      <c r="F35" s="53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5"/>
      <c r="BG35" s="54"/>
      <c r="BH35" s="54"/>
      <c r="BI35" s="54"/>
      <c r="BJ35" s="54"/>
      <c r="BK35" s="54"/>
      <c r="BL35" s="54"/>
      <c r="BM35" s="54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</row>
    <row r="36" spans="2:81" x14ac:dyDescent="0.35">
      <c r="B36" s="39" t="s">
        <v>64</v>
      </c>
      <c r="C36" s="40">
        <v>1</v>
      </c>
      <c r="D36" s="41" t="s">
        <v>65</v>
      </c>
      <c r="E36" s="41" t="s">
        <v>40</v>
      </c>
      <c r="F36" s="48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50"/>
      <c r="AM36" s="50"/>
      <c r="AN36" s="51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</row>
    <row r="37" spans="2:81" x14ac:dyDescent="0.35">
      <c r="B37" s="39" t="s">
        <v>66</v>
      </c>
      <c r="C37" s="40">
        <v>1</v>
      </c>
      <c r="D37" s="41" t="s">
        <v>40</v>
      </c>
      <c r="E37" s="41" t="s">
        <v>67</v>
      </c>
      <c r="F37" s="48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50"/>
      <c r="AO37" s="50"/>
      <c r="AP37" s="51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</row>
    <row r="38" spans="2:81" x14ac:dyDescent="0.35">
      <c r="B38" s="39" t="s">
        <v>68</v>
      </c>
      <c r="C38" s="40">
        <v>1</v>
      </c>
      <c r="D38" s="41" t="s">
        <v>67</v>
      </c>
      <c r="E38" s="41" t="s">
        <v>69</v>
      </c>
      <c r="F38" s="48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50"/>
      <c r="AQ38" s="50"/>
      <c r="AR38" s="51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</row>
    <row r="39" spans="2:81" x14ac:dyDescent="0.35">
      <c r="B39" s="39" t="s">
        <v>70</v>
      </c>
      <c r="C39" s="40">
        <v>1</v>
      </c>
      <c r="D39" s="41" t="s">
        <v>69</v>
      </c>
      <c r="E39" s="41" t="s">
        <v>71</v>
      </c>
      <c r="F39" s="48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50"/>
      <c r="AS39" s="50"/>
      <c r="AT39" s="51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</row>
    <row r="40" spans="2:81" x14ac:dyDescent="0.35">
      <c r="B40" s="39" t="s">
        <v>72</v>
      </c>
      <c r="C40" s="40">
        <v>1</v>
      </c>
      <c r="D40" s="41" t="s">
        <v>71</v>
      </c>
      <c r="E40" s="41" t="s">
        <v>73</v>
      </c>
      <c r="F40" s="48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50"/>
      <c r="AU40" s="50"/>
      <c r="AV40" s="51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</row>
    <row r="41" spans="2:81" x14ac:dyDescent="0.35">
      <c r="B41" s="39" t="s">
        <v>74</v>
      </c>
      <c r="C41" s="40">
        <v>1</v>
      </c>
      <c r="D41" s="41" t="s">
        <v>73</v>
      </c>
      <c r="E41" s="41" t="s">
        <v>75</v>
      </c>
      <c r="F41" s="58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60"/>
      <c r="AW41" s="60"/>
      <c r="AX41" s="61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</row>
    <row r="42" spans="2:81" x14ac:dyDescent="0.35">
      <c r="B42" s="39" t="s">
        <v>76</v>
      </c>
      <c r="C42" s="40">
        <v>1</v>
      </c>
      <c r="D42" s="41" t="s">
        <v>75</v>
      </c>
      <c r="E42" s="41" t="s">
        <v>77</v>
      </c>
      <c r="F42" s="58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60"/>
      <c r="AY42" s="61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</row>
    <row r="43" spans="2:81" x14ac:dyDescent="0.35">
      <c r="B43" s="39" t="s">
        <v>78</v>
      </c>
      <c r="C43" s="40">
        <v>1</v>
      </c>
      <c r="D43" s="41" t="s">
        <v>77</v>
      </c>
      <c r="E43" s="41" t="s">
        <v>79</v>
      </c>
      <c r="F43" s="58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60"/>
      <c r="AZ43" s="61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</row>
    <row r="44" spans="2:81" x14ac:dyDescent="0.35">
      <c r="B44" s="39" t="s">
        <v>80</v>
      </c>
      <c r="C44" s="40">
        <v>1</v>
      </c>
      <c r="D44" s="41" t="s">
        <v>79</v>
      </c>
      <c r="E44" s="41" t="s">
        <v>81</v>
      </c>
      <c r="F44" s="58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60"/>
      <c r="BA44" s="60"/>
      <c r="BB44" s="61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</row>
    <row r="45" spans="2:81" x14ac:dyDescent="0.35">
      <c r="B45" s="39" t="s">
        <v>82</v>
      </c>
      <c r="C45" s="40">
        <v>1</v>
      </c>
      <c r="D45" s="41" t="s">
        <v>83</v>
      </c>
      <c r="E45" s="41" t="s">
        <v>83</v>
      </c>
      <c r="F45" s="58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61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</row>
    <row r="46" spans="2:81" x14ac:dyDescent="0.35">
      <c r="B46" s="63" t="s">
        <v>84</v>
      </c>
      <c r="C46" s="64">
        <v>0.87</v>
      </c>
      <c r="D46" s="65" t="s">
        <v>31</v>
      </c>
      <c r="E46" s="65" t="s">
        <v>27</v>
      </c>
      <c r="F46" s="66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8"/>
      <c r="BJ46" s="68"/>
      <c r="BK46" s="68"/>
      <c r="BL46" s="68"/>
      <c r="BM46" s="68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</row>
    <row r="47" spans="2:81" x14ac:dyDescent="0.35">
      <c r="B47" s="63" t="s">
        <v>85</v>
      </c>
      <c r="C47" s="64">
        <v>1</v>
      </c>
      <c r="D47" s="65" t="s">
        <v>86</v>
      </c>
      <c r="E47" s="65" t="s">
        <v>52</v>
      </c>
      <c r="F47" s="66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70"/>
      <c r="BL47" s="67"/>
      <c r="BM47" s="67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</row>
    <row r="48" spans="2:81" x14ac:dyDescent="0.35">
      <c r="B48" s="63" t="s">
        <v>87</v>
      </c>
      <c r="C48" s="64">
        <v>1</v>
      </c>
      <c r="D48" s="65" t="s">
        <v>86</v>
      </c>
      <c r="E48" s="65" t="s">
        <v>86</v>
      </c>
      <c r="F48" s="66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70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</row>
    <row r="49" spans="2:81" x14ac:dyDescent="0.35">
      <c r="B49" s="63" t="s">
        <v>88</v>
      </c>
      <c r="C49" s="64">
        <v>1</v>
      </c>
      <c r="D49" s="65" t="s">
        <v>89</v>
      </c>
      <c r="E49" s="65" t="s">
        <v>89</v>
      </c>
      <c r="F49" s="66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70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</row>
    <row r="50" spans="2:81" ht="31" x14ac:dyDescent="0.35">
      <c r="B50" s="63" t="s">
        <v>90</v>
      </c>
      <c r="C50" s="64">
        <v>1</v>
      </c>
      <c r="D50" s="65" t="s">
        <v>91</v>
      </c>
      <c r="E50" s="65" t="s">
        <v>91</v>
      </c>
      <c r="F50" s="66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1"/>
      <c r="AN50" s="59"/>
      <c r="AO50" s="59"/>
      <c r="AP50" s="59"/>
      <c r="AQ50" s="59"/>
      <c r="AR50" s="59"/>
      <c r="AS50" s="59"/>
      <c r="AT50" s="59"/>
      <c r="AU50" s="59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</row>
    <row r="51" spans="2:81" ht="31" x14ac:dyDescent="0.35">
      <c r="B51" s="63" t="s">
        <v>92</v>
      </c>
      <c r="C51" s="64">
        <v>1</v>
      </c>
      <c r="D51" s="65" t="s">
        <v>40</v>
      </c>
      <c r="E51" s="65" t="s">
        <v>40</v>
      </c>
      <c r="F51" s="66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59"/>
      <c r="AN51" s="61"/>
      <c r="AO51" s="59"/>
      <c r="AP51" s="59"/>
      <c r="AQ51" s="59"/>
      <c r="AR51" s="59"/>
      <c r="AS51" s="59"/>
      <c r="AT51" s="59"/>
      <c r="AU51" s="59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</row>
    <row r="52" spans="2:81" ht="31" x14ac:dyDescent="0.35">
      <c r="B52" s="63" t="s">
        <v>93</v>
      </c>
      <c r="C52" s="64">
        <v>1</v>
      </c>
      <c r="D52" s="65" t="s">
        <v>94</v>
      </c>
      <c r="E52" s="65" t="s">
        <v>94</v>
      </c>
      <c r="F52" s="66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59"/>
      <c r="AN52" s="59"/>
      <c r="AO52" s="61"/>
      <c r="AP52" s="59"/>
      <c r="AQ52" s="59"/>
      <c r="AR52" s="59"/>
      <c r="AS52" s="59"/>
      <c r="AT52" s="59"/>
      <c r="AU52" s="59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</row>
    <row r="53" spans="2:81" ht="31" x14ac:dyDescent="0.35">
      <c r="B53" s="63" t="s">
        <v>95</v>
      </c>
      <c r="C53" s="64">
        <v>1</v>
      </c>
      <c r="D53" s="65" t="s">
        <v>96</v>
      </c>
      <c r="E53" s="65" t="s">
        <v>96</v>
      </c>
      <c r="F53" s="66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70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</row>
    <row r="54" spans="2:81" x14ac:dyDescent="0.35">
      <c r="B54" s="63" t="s">
        <v>97</v>
      </c>
      <c r="C54" s="64">
        <v>1</v>
      </c>
      <c r="D54" s="65" t="s">
        <v>98</v>
      </c>
      <c r="E54" s="65" t="s">
        <v>98</v>
      </c>
      <c r="F54" s="66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70"/>
      <c r="BH54" s="67"/>
      <c r="BI54" s="67"/>
      <c r="BJ54" s="67"/>
      <c r="BK54" s="67"/>
      <c r="BL54" s="67"/>
      <c r="BM54" s="67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</row>
    <row r="55" spans="2:81" x14ac:dyDescent="0.35">
      <c r="B55" s="63" t="s">
        <v>99</v>
      </c>
      <c r="C55" s="64">
        <v>1</v>
      </c>
      <c r="D55" s="65" t="s">
        <v>52</v>
      </c>
      <c r="E55" s="65" t="s">
        <v>52</v>
      </c>
      <c r="F55" s="66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70"/>
      <c r="BL55" s="67"/>
      <c r="BM55" s="67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</row>
    <row r="56" spans="2:81" x14ac:dyDescent="0.35">
      <c r="B56" s="63" t="s">
        <v>100</v>
      </c>
      <c r="C56" s="64">
        <v>1</v>
      </c>
      <c r="D56" s="65" t="s">
        <v>101</v>
      </c>
      <c r="E56" s="65" t="s">
        <v>27</v>
      </c>
      <c r="F56" s="66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8"/>
      <c r="BI56" s="68"/>
      <c r="BJ56" s="68"/>
      <c r="BK56" s="68"/>
      <c r="BL56" s="70"/>
      <c r="BM56" s="67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</row>
    <row r="57" spans="2:81" x14ac:dyDescent="0.35">
      <c r="B57" s="63" t="s">
        <v>102</v>
      </c>
      <c r="C57" s="64">
        <v>1</v>
      </c>
      <c r="D57" s="65" t="s">
        <v>101</v>
      </c>
      <c r="E57" s="65" t="s">
        <v>101</v>
      </c>
      <c r="F57" s="66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70"/>
      <c r="BI57" s="67"/>
      <c r="BJ57" s="67"/>
      <c r="BK57" s="67"/>
      <c r="BL57" s="67"/>
      <c r="BM57" s="67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</row>
    <row r="58" spans="2:81" x14ac:dyDescent="0.35">
      <c r="B58" s="63" t="s">
        <v>103</v>
      </c>
      <c r="C58" s="64">
        <v>1</v>
      </c>
      <c r="D58" s="65" t="s">
        <v>27</v>
      </c>
      <c r="E58" s="65" t="s">
        <v>104</v>
      </c>
      <c r="F58" s="66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8"/>
      <c r="BM58" s="68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</row>
    <row r="59" spans="2:81" x14ac:dyDescent="0.35">
      <c r="B59" s="63" t="s">
        <v>105</v>
      </c>
      <c r="C59" s="64">
        <v>1</v>
      </c>
      <c r="D59" s="65" t="s">
        <v>104</v>
      </c>
      <c r="E59" s="65" t="s">
        <v>104</v>
      </c>
      <c r="F59" s="66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71"/>
      <c r="BJ59" s="59"/>
      <c r="BK59" s="59"/>
      <c r="BL59" s="59"/>
      <c r="BM59" s="61"/>
      <c r="BN59" s="72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</row>
    <row r="60" spans="2:81" s="83" customFormat="1" ht="34.5" customHeight="1" x14ac:dyDescent="0.35">
      <c r="B60" s="73" t="s">
        <v>106</v>
      </c>
      <c r="C60" s="74">
        <v>1</v>
      </c>
      <c r="D60" s="75" t="s">
        <v>104</v>
      </c>
      <c r="E60" s="75" t="s">
        <v>104</v>
      </c>
      <c r="F60" s="76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8"/>
      <c r="BJ60" s="79"/>
      <c r="BK60" s="79"/>
      <c r="BL60" s="79"/>
      <c r="BM60" s="80"/>
      <c r="BN60" s="81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</row>
    <row r="61" spans="2:81" s="83" customFormat="1" x14ac:dyDescent="0.35">
      <c r="B61" s="73" t="s">
        <v>107</v>
      </c>
      <c r="C61" s="74">
        <v>1</v>
      </c>
      <c r="D61" s="75" t="s">
        <v>104</v>
      </c>
      <c r="E61" s="75" t="s">
        <v>104</v>
      </c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8"/>
      <c r="BJ61" s="84"/>
      <c r="BK61" s="84"/>
      <c r="BL61" s="84"/>
      <c r="BM61" s="85"/>
      <c r="BN61" s="81"/>
      <c r="BO61" s="82"/>
      <c r="BP61" s="82"/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</row>
    <row r="62" spans="2:81" s="83" customFormat="1" x14ac:dyDescent="0.35">
      <c r="B62" s="73" t="s">
        <v>108</v>
      </c>
      <c r="C62" s="74">
        <v>1</v>
      </c>
      <c r="D62" s="75" t="s">
        <v>104</v>
      </c>
      <c r="E62" s="75" t="s">
        <v>104</v>
      </c>
      <c r="F62" s="76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8"/>
      <c r="BJ62" s="84"/>
      <c r="BK62" s="84"/>
      <c r="BL62" s="84"/>
      <c r="BM62" s="85"/>
      <c r="BN62" s="81"/>
      <c r="BO62" s="82"/>
      <c r="BP62" s="82"/>
      <c r="BQ62" s="82"/>
      <c r="BR62" s="82"/>
      <c r="BS62" s="82"/>
      <c r="BT62" s="82"/>
      <c r="BU62" s="82"/>
      <c r="BV62" s="82"/>
      <c r="BW62" s="82"/>
      <c r="BX62" s="82"/>
      <c r="BY62" s="82"/>
      <c r="BZ62" s="82"/>
      <c r="CA62" s="82"/>
      <c r="CB62" s="82"/>
      <c r="CC62" s="82"/>
    </row>
    <row r="63" spans="2:81" s="83" customFormat="1" x14ac:dyDescent="0.35">
      <c r="B63" s="73" t="s">
        <v>109</v>
      </c>
      <c r="C63" s="74">
        <v>1</v>
      </c>
      <c r="D63" s="75" t="s">
        <v>110</v>
      </c>
      <c r="E63" s="75" t="s">
        <v>110</v>
      </c>
      <c r="F63" s="76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8"/>
      <c r="BJ63" s="86"/>
      <c r="BK63" s="84"/>
      <c r="BL63" s="84"/>
      <c r="BM63" s="84"/>
      <c r="BN63" s="81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</row>
    <row r="64" spans="2:81" s="83" customFormat="1" x14ac:dyDescent="0.35">
      <c r="B64" s="73" t="s">
        <v>111</v>
      </c>
      <c r="C64" s="74">
        <v>1</v>
      </c>
      <c r="D64" s="65" t="s">
        <v>112</v>
      </c>
      <c r="E64" s="65" t="s">
        <v>113</v>
      </c>
      <c r="F64" s="76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87"/>
      <c r="S64" s="88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8"/>
      <c r="BJ64" s="84"/>
      <c r="BK64" s="84"/>
      <c r="BL64" s="84"/>
      <c r="BM64" s="84"/>
      <c r="BN64" s="81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</row>
    <row r="65" spans="2:81" x14ac:dyDescent="0.35">
      <c r="B65" s="89" t="s">
        <v>114</v>
      </c>
      <c r="C65" s="90">
        <v>1</v>
      </c>
      <c r="D65" s="91" t="s">
        <v>115</v>
      </c>
      <c r="E65" s="91" t="s">
        <v>79</v>
      </c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1"/>
      <c r="BD65" s="59"/>
      <c r="BE65" s="59"/>
      <c r="BF65" s="59"/>
      <c r="BG65" s="59"/>
      <c r="BH65" s="59"/>
      <c r="BI65" s="59"/>
      <c r="BJ65" s="92"/>
      <c r="BK65" s="92"/>
      <c r="BL65" s="92"/>
      <c r="BM65" s="9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</row>
    <row r="66" spans="2:81" x14ac:dyDescent="0.35">
      <c r="B66" s="93" t="s">
        <v>116</v>
      </c>
      <c r="C66" s="94">
        <v>1</v>
      </c>
      <c r="D66" s="95" t="s">
        <v>115</v>
      </c>
      <c r="E66" s="95" t="s">
        <v>117</v>
      </c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60"/>
      <c r="AJ66" s="60"/>
      <c r="AK66" s="61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</row>
    <row r="67" spans="2:81" ht="31" x14ac:dyDescent="0.35">
      <c r="B67" s="93" t="s">
        <v>118</v>
      </c>
      <c r="C67" s="94">
        <v>1</v>
      </c>
      <c r="D67" s="95" t="s">
        <v>115</v>
      </c>
      <c r="E67" s="95" t="s">
        <v>65</v>
      </c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60"/>
      <c r="AJ67" s="60"/>
      <c r="AK67" s="60"/>
      <c r="AL67" s="61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</row>
    <row r="68" spans="2:81" x14ac:dyDescent="0.35">
      <c r="B68" s="93" t="s">
        <v>119</v>
      </c>
      <c r="C68" s="94">
        <v>1</v>
      </c>
      <c r="D68" s="95" t="s">
        <v>120</v>
      </c>
      <c r="E68" s="95" t="s">
        <v>67</v>
      </c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60"/>
      <c r="AK68" s="60"/>
      <c r="AL68" s="60"/>
      <c r="AM68" s="60"/>
      <c r="AN68" s="60"/>
      <c r="AO68" s="60"/>
      <c r="AP68" s="61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</row>
    <row r="69" spans="2:81" x14ac:dyDescent="0.35">
      <c r="B69" s="93" t="s">
        <v>121</v>
      </c>
      <c r="C69" s="94">
        <v>1</v>
      </c>
      <c r="D69" s="95" t="s">
        <v>120</v>
      </c>
      <c r="E69" s="95" t="s">
        <v>60</v>
      </c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1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</row>
    <row r="70" spans="2:81" x14ac:dyDescent="0.35">
      <c r="B70" s="93" t="s">
        <v>122</v>
      </c>
      <c r="C70" s="94">
        <v>1</v>
      </c>
      <c r="D70" s="95" t="s">
        <v>117</v>
      </c>
      <c r="E70" s="95" t="s">
        <v>65</v>
      </c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60"/>
      <c r="AL70" s="60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</row>
    <row r="71" spans="2:81" x14ac:dyDescent="0.35">
      <c r="B71" s="93" t="s">
        <v>123</v>
      </c>
      <c r="C71" s="94">
        <v>1</v>
      </c>
      <c r="D71" s="95" t="s">
        <v>117</v>
      </c>
      <c r="E71" s="95" t="s">
        <v>43</v>
      </c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1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</row>
    <row r="72" spans="2:81" x14ac:dyDescent="0.35">
      <c r="B72" s="93" t="s">
        <v>124</v>
      </c>
      <c r="C72" s="94">
        <v>1</v>
      </c>
      <c r="D72" s="95" t="s">
        <v>117</v>
      </c>
      <c r="E72" s="95" t="s">
        <v>65</v>
      </c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60"/>
      <c r="AL72" s="61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</row>
    <row r="73" spans="2:81" x14ac:dyDescent="0.35">
      <c r="B73" s="93" t="s">
        <v>125</v>
      </c>
      <c r="C73" s="94">
        <v>1</v>
      </c>
      <c r="D73" s="95" t="s">
        <v>67</v>
      </c>
      <c r="E73" s="95" t="s">
        <v>60</v>
      </c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60"/>
      <c r="AQ73" s="60"/>
      <c r="AR73" s="60"/>
      <c r="AS73" s="60"/>
      <c r="AT73" s="60"/>
      <c r="AU73" s="61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</row>
    <row r="74" spans="2:81" ht="31" x14ac:dyDescent="0.35">
      <c r="B74" s="93" t="s">
        <v>126</v>
      </c>
      <c r="C74" s="94">
        <v>1</v>
      </c>
      <c r="D74" s="95" t="s">
        <v>73</v>
      </c>
      <c r="E74" s="95" t="s">
        <v>43</v>
      </c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60"/>
      <c r="AW74" s="60"/>
      <c r="AX74" s="60"/>
      <c r="AY74" s="60"/>
      <c r="AZ74" s="60"/>
      <c r="BA74" s="60"/>
      <c r="BB74" s="60"/>
      <c r="BC74" s="61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</row>
    <row r="75" spans="2:81" x14ac:dyDescent="0.35">
      <c r="B75" s="93" t="s">
        <v>127</v>
      </c>
      <c r="C75" s="94">
        <v>1</v>
      </c>
      <c r="D75" s="95" t="s">
        <v>65</v>
      </c>
      <c r="E75" s="95" t="s">
        <v>65</v>
      </c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61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</row>
    <row r="76" spans="2:81" x14ac:dyDescent="0.35">
      <c r="B76" s="93" t="s">
        <v>128</v>
      </c>
      <c r="C76" s="94">
        <v>1</v>
      </c>
      <c r="D76" s="95" t="s">
        <v>91</v>
      </c>
      <c r="E76" s="95" t="s">
        <v>91</v>
      </c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61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</row>
    <row r="77" spans="2:81" x14ac:dyDescent="0.35">
      <c r="B77" s="93" t="s">
        <v>129</v>
      </c>
      <c r="C77" s="94">
        <v>1</v>
      </c>
      <c r="D77" s="95" t="s">
        <v>91</v>
      </c>
      <c r="E77" s="95" t="s">
        <v>96</v>
      </c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60"/>
      <c r="AN77" s="60"/>
      <c r="AO77" s="60"/>
      <c r="AP77" s="60"/>
      <c r="AQ77" s="60"/>
      <c r="AR77" s="61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</row>
    <row r="78" spans="2:81" x14ac:dyDescent="0.35">
      <c r="B78" s="93" t="s">
        <v>130</v>
      </c>
      <c r="C78" s="94">
        <v>1</v>
      </c>
      <c r="D78" s="95" t="s">
        <v>67</v>
      </c>
      <c r="E78" s="95" t="s">
        <v>41</v>
      </c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60"/>
      <c r="AQ78" s="60"/>
      <c r="AR78" s="60"/>
      <c r="AS78" s="60"/>
      <c r="AT78" s="60"/>
      <c r="AU78" s="60"/>
      <c r="AV78" s="60"/>
      <c r="AW78" s="61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</row>
    <row r="79" spans="2:81" x14ac:dyDescent="0.35">
      <c r="B79" s="93" t="s">
        <v>131</v>
      </c>
      <c r="C79" s="94">
        <v>1</v>
      </c>
      <c r="D79" s="95" t="s">
        <v>67</v>
      </c>
      <c r="E79" s="95" t="s">
        <v>67</v>
      </c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61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</row>
    <row r="80" spans="2:81" x14ac:dyDescent="0.35">
      <c r="B80" s="93" t="s">
        <v>132</v>
      </c>
      <c r="C80" s="94">
        <v>1</v>
      </c>
      <c r="D80" s="95" t="s">
        <v>69</v>
      </c>
      <c r="E80" s="95" t="s">
        <v>69</v>
      </c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61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</row>
    <row r="81" spans="2:81" ht="31" x14ac:dyDescent="0.35">
      <c r="B81" s="93" t="s">
        <v>133</v>
      </c>
      <c r="C81" s="94">
        <v>1</v>
      </c>
      <c r="D81" s="95" t="s">
        <v>134</v>
      </c>
      <c r="E81" s="95" t="s">
        <v>41</v>
      </c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60"/>
      <c r="AT81" s="60"/>
      <c r="AU81" s="60"/>
      <c r="AV81" s="60"/>
      <c r="AW81" s="61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</row>
    <row r="82" spans="2:81" x14ac:dyDescent="0.35">
      <c r="B82" s="93" t="s">
        <v>135</v>
      </c>
      <c r="C82" s="94">
        <v>1</v>
      </c>
      <c r="D82" s="95" t="s">
        <v>134</v>
      </c>
      <c r="E82" s="95" t="s">
        <v>134</v>
      </c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61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</row>
    <row r="83" spans="2:81" x14ac:dyDescent="0.35">
      <c r="B83" s="93" t="s">
        <v>136</v>
      </c>
      <c r="C83" s="94">
        <v>1</v>
      </c>
      <c r="D83" s="95" t="s">
        <v>134</v>
      </c>
      <c r="E83" s="95" t="s">
        <v>71</v>
      </c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60"/>
      <c r="AT83" s="61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</row>
    <row r="84" spans="2:81" x14ac:dyDescent="0.35">
      <c r="B84" s="93" t="s">
        <v>137</v>
      </c>
      <c r="C84" s="94">
        <v>1</v>
      </c>
      <c r="D84" s="95" t="s">
        <v>134</v>
      </c>
      <c r="E84" s="95" t="s">
        <v>41</v>
      </c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60"/>
      <c r="AT84" s="60"/>
      <c r="AU84" s="60"/>
      <c r="AV84" s="60"/>
      <c r="AW84" s="61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</row>
    <row r="85" spans="2:81" x14ac:dyDescent="0.35">
      <c r="B85" s="96" t="s">
        <v>138</v>
      </c>
      <c r="C85" s="97">
        <v>1</v>
      </c>
      <c r="D85" s="98" t="s">
        <v>75</v>
      </c>
      <c r="E85" s="98" t="s">
        <v>79</v>
      </c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8"/>
      <c r="AY85" s="68"/>
      <c r="AZ85" s="70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</row>
    <row r="86" spans="2:81" x14ac:dyDescent="0.35">
      <c r="B86" s="89" t="s">
        <v>139</v>
      </c>
      <c r="C86" s="90">
        <v>1</v>
      </c>
      <c r="D86" s="91" t="s">
        <v>134</v>
      </c>
      <c r="E86" s="91" t="s">
        <v>31</v>
      </c>
      <c r="F86" s="99"/>
      <c r="G86" s="99"/>
      <c r="H86" s="99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100" t="s">
        <v>140</v>
      </c>
      <c r="AT86" s="100" t="s">
        <v>140</v>
      </c>
      <c r="AU86" s="100" t="s">
        <v>140</v>
      </c>
      <c r="AV86" s="100" t="s">
        <v>140</v>
      </c>
      <c r="AW86" s="100" t="s">
        <v>140</v>
      </c>
      <c r="AX86" s="100" t="s">
        <v>140</v>
      </c>
      <c r="AY86" s="100" t="s">
        <v>140</v>
      </c>
      <c r="AZ86" s="100" t="s">
        <v>140</v>
      </c>
      <c r="BA86" s="100" t="s">
        <v>140</v>
      </c>
      <c r="BB86" s="100" t="s">
        <v>140</v>
      </c>
      <c r="BC86" s="100" t="s">
        <v>140</v>
      </c>
      <c r="BD86" s="100" t="s">
        <v>140</v>
      </c>
      <c r="BE86" s="100" t="s">
        <v>140</v>
      </c>
      <c r="BF86" s="100" t="s">
        <v>140</v>
      </c>
      <c r="BG86" s="100" t="s">
        <v>140</v>
      </c>
      <c r="BH86" s="100" t="s">
        <v>140</v>
      </c>
      <c r="BI86" s="101" t="s">
        <v>140</v>
      </c>
      <c r="BJ86" s="59"/>
      <c r="BK86" s="59"/>
      <c r="BL86" s="59"/>
      <c r="BM86" s="59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</row>
    <row r="87" spans="2:81" x14ac:dyDescent="0.35">
      <c r="B87" s="93" t="s">
        <v>141</v>
      </c>
      <c r="C87" s="94">
        <v>1</v>
      </c>
      <c r="D87" s="95" t="s">
        <v>134</v>
      </c>
      <c r="E87" s="95" t="s">
        <v>41</v>
      </c>
      <c r="F87" s="95"/>
      <c r="G87" s="95"/>
      <c r="H87" s="95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100" t="s">
        <v>140</v>
      </c>
      <c r="AT87" s="100" t="s">
        <v>140</v>
      </c>
      <c r="AU87" s="100" t="s">
        <v>140</v>
      </c>
      <c r="AV87" s="100" t="s">
        <v>140</v>
      </c>
      <c r="AW87" s="101" t="s">
        <v>140</v>
      </c>
      <c r="AX87" s="95"/>
      <c r="AY87" s="95"/>
      <c r="AZ87" s="95"/>
      <c r="BA87" s="95"/>
      <c r="BB87" s="95"/>
      <c r="BC87" s="95"/>
      <c r="BD87" s="95"/>
      <c r="BE87" s="95"/>
      <c r="BF87" s="95"/>
      <c r="BG87" s="95"/>
      <c r="BH87" s="95"/>
      <c r="BI87" s="95"/>
      <c r="BJ87" s="59"/>
      <c r="BK87" s="59"/>
      <c r="BL87" s="59"/>
      <c r="BM87" s="59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</row>
    <row r="88" spans="2:81" x14ac:dyDescent="0.35">
      <c r="B88" s="93" t="s">
        <v>142</v>
      </c>
      <c r="C88" s="94">
        <v>1</v>
      </c>
      <c r="D88" s="95" t="s">
        <v>41</v>
      </c>
      <c r="E88" s="95" t="s">
        <v>41</v>
      </c>
      <c r="F88" s="95"/>
      <c r="G88" s="95"/>
      <c r="H88" s="95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95"/>
      <c r="AT88" s="95"/>
      <c r="AU88" s="95"/>
      <c r="AV88" s="95"/>
      <c r="AW88" s="101" t="s">
        <v>140</v>
      </c>
      <c r="AX88" s="95"/>
      <c r="AY88" s="95"/>
      <c r="AZ88" s="95"/>
      <c r="BA88" s="95"/>
      <c r="BB88" s="95"/>
      <c r="BC88" s="95"/>
      <c r="BD88" s="95"/>
      <c r="BE88" s="95"/>
      <c r="BF88" s="95"/>
      <c r="BG88" s="95"/>
      <c r="BH88" s="95"/>
      <c r="BI88" s="95"/>
      <c r="BJ88" s="59"/>
      <c r="BK88" s="59"/>
      <c r="BL88" s="59"/>
      <c r="BM88" s="59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</row>
    <row r="89" spans="2:81" x14ac:dyDescent="0.35">
      <c r="B89" s="93" t="s">
        <v>143</v>
      </c>
      <c r="C89" s="94">
        <v>1</v>
      </c>
      <c r="D89" s="95" t="s">
        <v>83</v>
      </c>
      <c r="E89" s="95" t="s">
        <v>83</v>
      </c>
      <c r="F89" s="95"/>
      <c r="G89" s="95"/>
      <c r="H89" s="95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95"/>
      <c r="AT89" s="95"/>
      <c r="AU89" s="95"/>
      <c r="AV89" s="95"/>
      <c r="AW89" s="95"/>
      <c r="AX89" s="95"/>
      <c r="AY89" s="95"/>
      <c r="AZ89" s="95"/>
      <c r="BA89" s="101" t="s">
        <v>140</v>
      </c>
      <c r="BB89" s="95"/>
      <c r="BC89" s="95"/>
      <c r="BD89" s="95"/>
      <c r="BE89" s="95"/>
      <c r="BF89" s="95"/>
      <c r="BG89" s="95"/>
      <c r="BH89" s="95"/>
      <c r="BI89" s="95"/>
      <c r="BJ89" s="59"/>
      <c r="BK89" s="59"/>
      <c r="BL89" s="59"/>
      <c r="BM89" s="59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</row>
    <row r="90" spans="2:81" x14ac:dyDescent="0.35">
      <c r="B90" s="93" t="s">
        <v>144</v>
      </c>
      <c r="C90" s="94">
        <v>1</v>
      </c>
      <c r="D90" s="95" t="s">
        <v>83</v>
      </c>
      <c r="E90" s="95" t="s">
        <v>145</v>
      </c>
      <c r="F90" s="95"/>
      <c r="G90" s="95"/>
      <c r="H90" s="95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95"/>
      <c r="AT90" s="95"/>
      <c r="AU90" s="95"/>
      <c r="AV90" s="95"/>
      <c r="AW90" s="95"/>
      <c r="AX90" s="95"/>
      <c r="AY90" s="95"/>
      <c r="AZ90" s="95"/>
      <c r="BA90" s="101" t="s">
        <v>140</v>
      </c>
      <c r="BB90" s="95"/>
      <c r="BC90" s="95"/>
      <c r="BD90" s="95"/>
      <c r="BE90" s="95"/>
      <c r="BF90" s="95"/>
      <c r="BG90" s="95"/>
      <c r="BH90" s="95"/>
      <c r="BI90" s="95"/>
      <c r="BJ90" s="59"/>
      <c r="BK90" s="59"/>
      <c r="BL90" s="59"/>
      <c r="BM90" s="59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</row>
    <row r="91" spans="2:81" ht="31" x14ac:dyDescent="0.35">
      <c r="B91" s="93" t="s">
        <v>146</v>
      </c>
      <c r="C91" s="94">
        <v>1</v>
      </c>
      <c r="D91" s="95" t="s">
        <v>83</v>
      </c>
      <c r="E91" s="95" t="s">
        <v>145</v>
      </c>
      <c r="F91" s="95"/>
      <c r="G91" s="95"/>
      <c r="H91" s="95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95"/>
      <c r="AT91" s="95"/>
      <c r="AU91" s="95"/>
      <c r="AV91" s="95"/>
      <c r="AW91" s="95"/>
      <c r="AX91" s="95"/>
      <c r="AY91" s="95"/>
      <c r="AZ91" s="95"/>
      <c r="BA91" s="100" t="s">
        <v>140</v>
      </c>
      <c r="BB91" s="100" t="s">
        <v>140</v>
      </c>
      <c r="BC91" s="100" t="s">
        <v>140</v>
      </c>
      <c r="BD91" s="100" t="s">
        <v>140</v>
      </c>
      <c r="BE91" s="101" t="s">
        <v>140</v>
      </c>
      <c r="BF91" s="95"/>
      <c r="BG91" s="95"/>
      <c r="BH91" s="95"/>
      <c r="BI91" s="95"/>
      <c r="BJ91" s="59"/>
      <c r="BK91" s="59"/>
      <c r="BL91" s="59"/>
      <c r="BM91" s="59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</row>
    <row r="92" spans="2:81" x14ac:dyDescent="0.35">
      <c r="B92" s="93" t="s">
        <v>147</v>
      </c>
      <c r="C92" s="94">
        <v>1</v>
      </c>
      <c r="D92" s="95" t="s">
        <v>145</v>
      </c>
      <c r="E92" s="95" t="s">
        <v>145</v>
      </c>
      <c r="F92" s="95"/>
      <c r="G92" s="95"/>
      <c r="H92" s="95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100" t="s">
        <v>140</v>
      </c>
      <c r="BF92" s="95"/>
      <c r="BG92" s="95"/>
      <c r="BH92" s="95"/>
      <c r="BI92" s="95"/>
      <c r="BJ92" s="59"/>
      <c r="BK92" s="59"/>
      <c r="BL92" s="59"/>
      <c r="BM92" s="59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</row>
    <row r="93" spans="2:81" x14ac:dyDescent="0.35">
      <c r="B93" s="93" t="s">
        <v>148</v>
      </c>
      <c r="C93" s="94">
        <v>1</v>
      </c>
      <c r="D93" s="95" t="s">
        <v>83</v>
      </c>
      <c r="E93" s="95" t="s">
        <v>145</v>
      </c>
      <c r="F93" s="95"/>
      <c r="G93" s="95"/>
      <c r="H93" s="95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100" t="s">
        <v>140</v>
      </c>
      <c r="BG93" s="100" t="s">
        <v>140</v>
      </c>
      <c r="BH93" s="100" t="s">
        <v>140</v>
      </c>
      <c r="BI93" s="101" t="s">
        <v>140</v>
      </c>
      <c r="BJ93" s="59"/>
      <c r="BK93" s="59"/>
      <c r="BL93" s="59"/>
      <c r="BM93" s="59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</row>
    <row r="94" spans="2:81" x14ac:dyDescent="0.35">
      <c r="B94" s="93" t="s">
        <v>149</v>
      </c>
      <c r="C94" s="94">
        <v>1</v>
      </c>
      <c r="D94" s="95" t="s">
        <v>63</v>
      </c>
      <c r="E94" s="95" t="s">
        <v>63</v>
      </c>
      <c r="F94" s="95"/>
      <c r="G94" s="95"/>
      <c r="H94" s="95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101" t="s">
        <v>140</v>
      </c>
      <c r="BG94" s="95"/>
      <c r="BH94" s="95"/>
      <c r="BI94" s="95"/>
      <c r="BJ94" s="59"/>
      <c r="BK94" s="59"/>
      <c r="BL94" s="59"/>
      <c r="BM94" s="59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</row>
    <row r="95" spans="2:81" x14ac:dyDescent="0.35">
      <c r="B95" s="93" t="s">
        <v>150</v>
      </c>
      <c r="C95" s="94">
        <v>1</v>
      </c>
      <c r="D95" s="95" t="s">
        <v>101</v>
      </c>
      <c r="E95" s="95" t="s">
        <v>101</v>
      </c>
      <c r="F95" s="95"/>
      <c r="G95" s="95"/>
      <c r="H95" s="95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  <c r="BH95" s="101" t="s">
        <v>140</v>
      </c>
      <c r="BI95" s="95"/>
      <c r="BJ95" s="59"/>
      <c r="BK95" s="59"/>
      <c r="BL95" s="59"/>
      <c r="BM95" s="59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</row>
    <row r="96" spans="2:81" x14ac:dyDescent="0.35">
      <c r="B96" s="93" t="s">
        <v>151</v>
      </c>
      <c r="C96" s="94">
        <v>1</v>
      </c>
      <c r="D96" s="95" t="s">
        <v>31</v>
      </c>
      <c r="E96" s="95" t="s">
        <v>31</v>
      </c>
      <c r="F96" s="95"/>
      <c r="G96" s="98"/>
      <c r="H96" s="98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67"/>
      <c r="AQ96" s="67"/>
      <c r="AR96" s="67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102" t="s">
        <v>140</v>
      </c>
      <c r="BJ96" s="67"/>
      <c r="BK96" s="67"/>
      <c r="BL96" s="67"/>
      <c r="BM96" s="67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</row>
    <row r="97" spans="2:81" x14ac:dyDescent="0.35">
      <c r="B97" s="103" t="s">
        <v>152</v>
      </c>
      <c r="C97" s="104">
        <v>1</v>
      </c>
      <c r="D97" s="105" t="s">
        <v>48</v>
      </c>
      <c r="E97" s="105" t="s">
        <v>31</v>
      </c>
      <c r="F97" s="106" t="s">
        <v>140</v>
      </c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107" t="s">
        <v>140</v>
      </c>
      <c r="AB97" s="107" t="s">
        <v>140</v>
      </c>
      <c r="AC97" s="107" t="s">
        <v>140</v>
      </c>
      <c r="AD97" s="107" t="s">
        <v>140</v>
      </c>
      <c r="AE97" s="107" t="s">
        <v>140</v>
      </c>
      <c r="AF97" s="107" t="s">
        <v>140</v>
      </c>
      <c r="AG97" s="107" t="s">
        <v>140</v>
      </c>
      <c r="AH97" s="107" t="s">
        <v>140</v>
      </c>
      <c r="AI97" s="107" t="s">
        <v>140</v>
      </c>
      <c r="AJ97" s="107" t="s">
        <v>140</v>
      </c>
      <c r="AK97" s="107" t="s">
        <v>140</v>
      </c>
      <c r="AL97" s="107" t="s">
        <v>140</v>
      </c>
      <c r="AM97" s="107" t="s">
        <v>140</v>
      </c>
      <c r="AN97" s="107" t="s">
        <v>140</v>
      </c>
      <c r="AO97" s="107" t="s">
        <v>140</v>
      </c>
      <c r="AP97" s="107" t="s">
        <v>140</v>
      </c>
      <c r="AQ97" s="107" t="s">
        <v>140</v>
      </c>
      <c r="AR97" s="107" t="s">
        <v>140</v>
      </c>
      <c r="AS97" s="107" t="s">
        <v>140</v>
      </c>
      <c r="AT97" s="107" t="s">
        <v>140</v>
      </c>
      <c r="AU97" s="107" t="s">
        <v>140</v>
      </c>
      <c r="AV97" s="107" t="s">
        <v>140</v>
      </c>
      <c r="AW97" s="107" t="s">
        <v>140</v>
      </c>
      <c r="AX97" s="107" t="s">
        <v>140</v>
      </c>
      <c r="AY97" s="107" t="s">
        <v>140</v>
      </c>
      <c r="AZ97" s="107" t="s">
        <v>140</v>
      </c>
      <c r="BA97" s="107" t="s">
        <v>140</v>
      </c>
      <c r="BB97" s="107" t="s">
        <v>140</v>
      </c>
      <c r="BC97" s="107" t="s">
        <v>140</v>
      </c>
      <c r="BD97" s="107" t="s">
        <v>140</v>
      </c>
      <c r="BE97" s="107" t="s">
        <v>140</v>
      </c>
      <c r="BF97" s="107" t="s">
        <v>140</v>
      </c>
      <c r="BG97" s="107" t="s">
        <v>140</v>
      </c>
      <c r="BH97" s="107" t="s">
        <v>140</v>
      </c>
      <c r="BI97" s="108" t="s">
        <v>140</v>
      </c>
      <c r="BJ97" s="59"/>
      <c r="BK97" s="59"/>
      <c r="BL97" s="59"/>
      <c r="BM97" s="59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</row>
    <row r="98" spans="2:81" x14ac:dyDescent="0.35">
      <c r="B98" s="109" t="s">
        <v>153</v>
      </c>
      <c r="C98" s="110">
        <v>1</v>
      </c>
      <c r="D98" s="111" t="s">
        <v>48</v>
      </c>
      <c r="E98" s="111" t="s">
        <v>94</v>
      </c>
      <c r="F98" s="112" t="s">
        <v>140</v>
      </c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113" t="s">
        <v>140</v>
      </c>
      <c r="AB98" s="113" t="s">
        <v>140</v>
      </c>
      <c r="AC98" s="113" t="s">
        <v>140</v>
      </c>
      <c r="AD98" s="113" t="s">
        <v>140</v>
      </c>
      <c r="AE98" s="113" t="s">
        <v>140</v>
      </c>
      <c r="AF98" s="113" t="s">
        <v>140</v>
      </c>
      <c r="AG98" s="113" t="s">
        <v>140</v>
      </c>
      <c r="AH98" s="113" t="s">
        <v>140</v>
      </c>
      <c r="AI98" s="113" t="s">
        <v>140</v>
      </c>
      <c r="AJ98" s="113" t="s">
        <v>140</v>
      </c>
      <c r="AK98" s="113" t="s">
        <v>140</v>
      </c>
      <c r="AL98" s="113" t="s">
        <v>140</v>
      </c>
      <c r="AM98" s="113" t="s">
        <v>140</v>
      </c>
      <c r="AN98" s="113" t="s">
        <v>140</v>
      </c>
      <c r="AO98" s="114" t="s">
        <v>140</v>
      </c>
      <c r="AP98" s="111" t="s">
        <v>140</v>
      </c>
      <c r="AQ98" s="111" t="s">
        <v>140</v>
      </c>
      <c r="AR98" s="111" t="s">
        <v>140</v>
      </c>
      <c r="AS98" s="111" t="s">
        <v>140</v>
      </c>
      <c r="AT98" s="111" t="s">
        <v>140</v>
      </c>
      <c r="AU98" s="111" t="s">
        <v>140</v>
      </c>
      <c r="AV98" s="111" t="s">
        <v>140</v>
      </c>
      <c r="AW98" s="111" t="s">
        <v>140</v>
      </c>
      <c r="AX98" s="111" t="s">
        <v>140</v>
      </c>
      <c r="AY98" s="111" t="s">
        <v>140</v>
      </c>
      <c r="AZ98" s="111" t="s">
        <v>140</v>
      </c>
      <c r="BA98" s="111" t="s">
        <v>140</v>
      </c>
      <c r="BB98" s="111" t="s">
        <v>140</v>
      </c>
      <c r="BC98" s="111" t="s">
        <v>140</v>
      </c>
      <c r="BD98" s="111" t="s">
        <v>140</v>
      </c>
      <c r="BE98" s="111" t="s">
        <v>140</v>
      </c>
      <c r="BF98" s="111" t="s">
        <v>140</v>
      </c>
      <c r="BG98" s="111" t="s">
        <v>140</v>
      </c>
      <c r="BH98" s="111" t="s">
        <v>140</v>
      </c>
      <c r="BI98" s="112" t="s">
        <v>140</v>
      </c>
      <c r="BJ98" s="59"/>
      <c r="BK98" s="59"/>
      <c r="BL98" s="59"/>
      <c r="BM98" s="59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</row>
    <row r="99" spans="2:81" x14ac:dyDescent="0.35">
      <c r="B99" s="109" t="s">
        <v>154</v>
      </c>
      <c r="C99" s="110">
        <v>1</v>
      </c>
      <c r="D99" s="111" t="s">
        <v>48</v>
      </c>
      <c r="E99" s="111" t="s">
        <v>155</v>
      </c>
      <c r="F99" s="112" t="s">
        <v>140</v>
      </c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113" t="s">
        <v>140</v>
      </c>
      <c r="AB99" s="113" t="s">
        <v>140</v>
      </c>
      <c r="AC99" s="113" t="s">
        <v>140</v>
      </c>
      <c r="AD99" s="113" t="s">
        <v>140</v>
      </c>
      <c r="AE99" s="114" t="s">
        <v>140</v>
      </c>
      <c r="AF99" s="111" t="s">
        <v>140</v>
      </c>
      <c r="AG99" s="111" t="s">
        <v>140</v>
      </c>
      <c r="AH99" s="111" t="s">
        <v>140</v>
      </c>
      <c r="AI99" s="111" t="s">
        <v>140</v>
      </c>
      <c r="AJ99" s="111" t="s">
        <v>140</v>
      </c>
      <c r="AK99" s="111" t="s">
        <v>140</v>
      </c>
      <c r="AL99" s="111" t="s">
        <v>140</v>
      </c>
      <c r="AM99" s="111" t="s">
        <v>140</v>
      </c>
      <c r="AN99" s="111" t="s">
        <v>140</v>
      </c>
      <c r="AO99" s="111" t="s">
        <v>140</v>
      </c>
      <c r="AP99" s="111" t="s">
        <v>140</v>
      </c>
      <c r="AQ99" s="111" t="s">
        <v>140</v>
      </c>
      <c r="AR99" s="111" t="s">
        <v>140</v>
      </c>
      <c r="AS99" s="111" t="s">
        <v>140</v>
      </c>
      <c r="AT99" s="111" t="s">
        <v>140</v>
      </c>
      <c r="AU99" s="111" t="s">
        <v>140</v>
      </c>
      <c r="AV99" s="111" t="s">
        <v>140</v>
      </c>
      <c r="AW99" s="111" t="s">
        <v>140</v>
      </c>
      <c r="AX99" s="111" t="s">
        <v>140</v>
      </c>
      <c r="AY99" s="111" t="s">
        <v>140</v>
      </c>
      <c r="AZ99" s="111" t="s">
        <v>140</v>
      </c>
      <c r="BA99" s="111" t="s">
        <v>140</v>
      </c>
      <c r="BB99" s="111" t="s">
        <v>140</v>
      </c>
      <c r="BC99" s="111" t="s">
        <v>140</v>
      </c>
      <c r="BD99" s="111" t="s">
        <v>140</v>
      </c>
      <c r="BE99" s="111" t="s">
        <v>140</v>
      </c>
      <c r="BF99" s="111" t="s">
        <v>140</v>
      </c>
      <c r="BG99" s="111" t="s">
        <v>140</v>
      </c>
      <c r="BH99" s="111" t="s">
        <v>140</v>
      </c>
      <c r="BI99" s="112" t="s">
        <v>140</v>
      </c>
      <c r="BJ99" s="59"/>
      <c r="BK99" s="59"/>
      <c r="BL99" s="59"/>
      <c r="BM99" s="59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</row>
    <row r="100" spans="2:81" ht="31" x14ac:dyDescent="0.35">
      <c r="B100" s="109" t="s">
        <v>156</v>
      </c>
      <c r="C100" s="110">
        <v>1</v>
      </c>
      <c r="D100" s="111" t="s">
        <v>115</v>
      </c>
      <c r="E100" s="111" t="s">
        <v>94</v>
      </c>
      <c r="F100" s="112" t="s">
        <v>140</v>
      </c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111" t="s">
        <v>140</v>
      </c>
      <c r="AB100" s="111" t="s">
        <v>140</v>
      </c>
      <c r="AC100" s="111" t="s">
        <v>140</v>
      </c>
      <c r="AD100" s="111" t="s">
        <v>140</v>
      </c>
      <c r="AE100" s="111" t="s">
        <v>140</v>
      </c>
      <c r="AF100" s="111" t="s">
        <v>140</v>
      </c>
      <c r="AG100" s="111" t="s">
        <v>140</v>
      </c>
      <c r="AH100" s="111" t="s">
        <v>140</v>
      </c>
      <c r="AI100" s="113" t="s">
        <v>140</v>
      </c>
      <c r="AJ100" s="113" t="s">
        <v>140</v>
      </c>
      <c r="AK100" s="113" t="s">
        <v>140</v>
      </c>
      <c r="AL100" s="113" t="s">
        <v>140</v>
      </c>
      <c r="AM100" s="113" t="s">
        <v>140</v>
      </c>
      <c r="AN100" s="113" t="s">
        <v>140</v>
      </c>
      <c r="AO100" s="114" t="s">
        <v>140</v>
      </c>
      <c r="AP100" s="111" t="s">
        <v>140</v>
      </c>
      <c r="AQ100" s="111" t="s">
        <v>140</v>
      </c>
      <c r="AR100" s="111" t="s">
        <v>140</v>
      </c>
      <c r="AS100" s="111" t="s">
        <v>140</v>
      </c>
      <c r="AT100" s="111" t="s">
        <v>140</v>
      </c>
      <c r="AU100" s="111" t="s">
        <v>140</v>
      </c>
      <c r="AV100" s="111" t="s">
        <v>140</v>
      </c>
      <c r="AW100" s="111" t="s">
        <v>140</v>
      </c>
      <c r="AX100" s="111" t="s">
        <v>140</v>
      </c>
      <c r="AY100" s="111" t="s">
        <v>140</v>
      </c>
      <c r="AZ100" s="111" t="s">
        <v>140</v>
      </c>
      <c r="BA100" s="111" t="s">
        <v>140</v>
      </c>
      <c r="BB100" s="111" t="s">
        <v>140</v>
      </c>
      <c r="BC100" s="111" t="s">
        <v>140</v>
      </c>
      <c r="BD100" s="111" t="s">
        <v>140</v>
      </c>
      <c r="BE100" s="111" t="s">
        <v>140</v>
      </c>
      <c r="BF100" s="111" t="s">
        <v>140</v>
      </c>
      <c r="BG100" s="111" t="s">
        <v>140</v>
      </c>
      <c r="BH100" s="111" t="s">
        <v>140</v>
      </c>
      <c r="BI100" s="112" t="s">
        <v>140</v>
      </c>
      <c r="BJ100" s="59"/>
      <c r="BK100" s="59"/>
      <c r="BL100" s="59"/>
      <c r="BM100" s="59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</row>
    <row r="101" spans="2:81" ht="31" x14ac:dyDescent="0.35">
      <c r="B101" s="109" t="s">
        <v>157</v>
      </c>
      <c r="C101" s="110">
        <v>1</v>
      </c>
      <c r="D101" s="111" t="s">
        <v>115</v>
      </c>
      <c r="E101" s="111" t="s">
        <v>115</v>
      </c>
      <c r="F101" s="112" t="s">
        <v>140</v>
      </c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111" t="s">
        <v>140</v>
      </c>
      <c r="AB101" s="111" t="s">
        <v>140</v>
      </c>
      <c r="AC101" s="111" t="s">
        <v>140</v>
      </c>
      <c r="AD101" s="111" t="s">
        <v>140</v>
      </c>
      <c r="AE101" s="111" t="s">
        <v>140</v>
      </c>
      <c r="AF101" s="111" t="s">
        <v>140</v>
      </c>
      <c r="AG101" s="111" t="s">
        <v>140</v>
      </c>
      <c r="AH101" s="111" t="s">
        <v>140</v>
      </c>
      <c r="AI101" s="114" t="s">
        <v>140</v>
      </c>
      <c r="AJ101" s="111" t="s">
        <v>140</v>
      </c>
      <c r="AK101" s="111" t="s">
        <v>140</v>
      </c>
      <c r="AL101" s="111" t="s">
        <v>140</v>
      </c>
      <c r="AM101" s="111" t="s">
        <v>140</v>
      </c>
      <c r="AN101" s="111" t="s">
        <v>140</v>
      </c>
      <c r="AO101" s="111" t="s">
        <v>140</v>
      </c>
      <c r="AP101" s="111" t="s">
        <v>140</v>
      </c>
      <c r="AQ101" s="111" t="s">
        <v>140</v>
      </c>
      <c r="AR101" s="111" t="s">
        <v>140</v>
      </c>
      <c r="AS101" s="111" t="s">
        <v>140</v>
      </c>
      <c r="AT101" s="111" t="s">
        <v>140</v>
      </c>
      <c r="AU101" s="111" t="s">
        <v>140</v>
      </c>
      <c r="AV101" s="111" t="s">
        <v>140</v>
      </c>
      <c r="AW101" s="111" t="s">
        <v>140</v>
      </c>
      <c r="AX101" s="111" t="s">
        <v>140</v>
      </c>
      <c r="AY101" s="111" t="s">
        <v>140</v>
      </c>
      <c r="AZ101" s="111" t="s">
        <v>140</v>
      </c>
      <c r="BA101" s="111" t="s">
        <v>140</v>
      </c>
      <c r="BB101" s="111" t="s">
        <v>140</v>
      </c>
      <c r="BC101" s="111" t="s">
        <v>140</v>
      </c>
      <c r="BD101" s="111" t="s">
        <v>140</v>
      </c>
      <c r="BE101" s="111" t="s">
        <v>140</v>
      </c>
      <c r="BF101" s="111" t="s">
        <v>140</v>
      </c>
      <c r="BG101" s="111" t="s">
        <v>140</v>
      </c>
      <c r="BH101" s="111" t="s">
        <v>140</v>
      </c>
      <c r="BI101" s="112" t="s">
        <v>140</v>
      </c>
      <c r="BJ101" s="59"/>
      <c r="BK101" s="59"/>
      <c r="BL101" s="59"/>
      <c r="BM101" s="59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</row>
    <row r="102" spans="2:81" x14ac:dyDescent="0.35">
      <c r="B102" s="109" t="s">
        <v>158</v>
      </c>
      <c r="C102" s="110">
        <v>1</v>
      </c>
      <c r="D102" s="111" t="s">
        <v>115</v>
      </c>
      <c r="E102" s="111" t="s">
        <v>96</v>
      </c>
      <c r="F102" s="112" t="s">
        <v>140</v>
      </c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111" t="s">
        <v>140</v>
      </c>
      <c r="AB102" s="111" t="s">
        <v>140</v>
      </c>
      <c r="AC102" s="111" t="s">
        <v>140</v>
      </c>
      <c r="AD102" s="111" t="s">
        <v>140</v>
      </c>
      <c r="AE102" s="111" t="s">
        <v>140</v>
      </c>
      <c r="AF102" s="111" t="s">
        <v>140</v>
      </c>
      <c r="AG102" s="111" t="s">
        <v>140</v>
      </c>
      <c r="AH102" s="111" t="s">
        <v>140</v>
      </c>
      <c r="AI102" s="113" t="s">
        <v>140</v>
      </c>
      <c r="AJ102" s="113" t="s">
        <v>140</v>
      </c>
      <c r="AK102" s="113" t="s">
        <v>140</v>
      </c>
      <c r="AL102" s="113" t="s">
        <v>140</v>
      </c>
      <c r="AM102" s="113" t="s">
        <v>140</v>
      </c>
      <c r="AN102" s="113" t="s">
        <v>140</v>
      </c>
      <c r="AO102" s="113" t="s">
        <v>140</v>
      </c>
      <c r="AP102" s="113" t="s">
        <v>140</v>
      </c>
      <c r="AQ102" s="114" t="s">
        <v>140</v>
      </c>
      <c r="AR102" s="111" t="s">
        <v>140</v>
      </c>
      <c r="AS102" s="111" t="s">
        <v>140</v>
      </c>
      <c r="AT102" s="111" t="s">
        <v>140</v>
      </c>
      <c r="AU102" s="111" t="s">
        <v>140</v>
      </c>
      <c r="AV102" s="111" t="s">
        <v>140</v>
      </c>
      <c r="AW102" s="111" t="s">
        <v>140</v>
      </c>
      <c r="AX102" s="111" t="s">
        <v>140</v>
      </c>
      <c r="AY102" s="111" t="s">
        <v>140</v>
      </c>
      <c r="AZ102" s="111" t="s">
        <v>140</v>
      </c>
      <c r="BA102" s="111" t="s">
        <v>140</v>
      </c>
      <c r="BB102" s="111" t="s">
        <v>140</v>
      </c>
      <c r="BC102" s="111" t="s">
        <v>140</v>
      </c>
      <c r="BD102" s="111" t="s">
        <v>140</v>
      </c>
      <c r="BE102" s="111" t="s">
        <v>140</v>
      </c>
      <c r="BF102" s="111" t="s">
        <v>140</v>
      </c>
      <c r="BG102" s="111" t="s">
        <v>140</v>
      </c>
      <c r="BH102" s="111" t="s">
        <v>140</v>
      </c>
      <c r="BI102" s="112" t="s">
        <v>140</v>
      </c>
      <c r="BJ102" s="59"/>
      <c r="BK102" s="59"/>
      <c r="BL102" s="59"/>
      <c r="BM102" s="59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</row>
    <row r="103" spans="2:81" ht="31" x14ac:dyDescent="0.35">
      <c r="B103" s="109" t="s">
        <v>159</v>
      </c>
      <c r="C103" s="110">
        <v>1</v>
      </c>
      <c r="D103" s="111" t="s">
        <v>115</v>
      </c>
      <c r="E103" s="111" t="s">
        <v>117</v>
      </c>
      <c r="F103" s="112" t="s">
        <v>140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111" t="s">
        <v>140</v>
      </c>
      <c r="AB103" s="111" t="s">
        <v>140</v>
      </c>
      <c r="AC103" s="111" t="s">
        <v>140</v>
      </c>
      <c r="AD103" s="111" t="s">
        <v>140</v>
      </c>
      <c r="AE103" s="111" t="s">
        <v>140</v>
      </c>
      <c r="AF103" s="111" t="s">
        <v>140</v>
      </c>
      <c r="AG103" s="111" t="s">
        <v>140</v>
      </c>
      <c r="AH103" s="111" t="s">
        <v>140</v>
      </c>
      <c r="AI103" s="113" t="s">
        <v>140</v>
      </c>
      <c r="AJ103" s="113" t="s">
        <v>140</v>
      </c>
      <c r="AK103" s="114" t="s">
        <v>140</v>
      </c>
      <c r="AL103" s="111" t="s">
        <v>140</v>
      </c>
      <c r="AM103" s="111" t="s">
        <v>140</v>
      </c>
      <c r="AN103" s="111" t="s">
        <v>140</v>
      </c>
      <c r="AO103" s="111" t="s">
        <v>140</v>
      </c>
      <c r="AP103" s="111" t="s">
        <v>140</v>
      </c>
      <c r="AQ103" s="111" t="s">
        <v>140</v>
      </c>
      <c r="AR103" s="111" t="s">
        <v>140</v>
      </c>
      <c r="AS103" s="111" t="s">
        <v>140</v>
      </c>
      <c r="AT103" s="111" t="s">
        <v>140</v>
      </c>
      <c r="AU103" s="111" t="s">
        <v>140</v>
      </c>
      <c r="AV103" s="111" t="s">
        <v>140</v>
      </c>
      <c r="AW103" s="111" t="s">
        <v>140</v>
      </c>
      <c r="AX103" s="111" t="s">
        <v>140</v>
      </c>
      <c r="AY103" s="111" t="s">
        <v>140</v>
      </c>
      <c r="AZ103" s="111" t="s">
        <v>140</v>
      </c>
      <c r="BA103" s="111" t="s">
        <v>140</v>
      </c>
      <c r="BB103" s="111" t="s">
        <v>140</v>
      </c>
      <c r="BC103" s="111" t="s">
        <v>140</v>
      </c>
      <c r="BD103" s="111" t="s">
        <v>140</v>
      </c>
      <c r="BE103" s="111" t="s">
        <v>140</v>
      </c>
      <c r="BF103" s="111" t="s">
        <v>140</v>
      </c>
      <c r="BG103" s="111" t="s">
        <v>140</v>
      </c>
      <c r="BH103" s="111" t="s">
        <v>140</v>
      </c>
      <c r="BI103" s="112" t="s">
        <v>140</v>
      </c>
      <c r="BJ103" s="59"/>
      <c r="BK103" s="59"/>
      <c r="BL103" s="59"/>
      <c r="BM103" s="59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</row>
    <row r="104" spans="2:81" x14ac:dyDescent="0.35">
      <c r="B104" s="109" t="s">
        <v>160</v>
      </c>
      <c r="C104" s="110">
        <v>1</v>
      </c>
      <c r="D104" s="111" t="s">
        <v>96</v>
      </c>
      <c r="E104" s="111" t="s">
        <v>96</v>
      </c>
      <c r="F104" s="112" t="s">
        <v>140</v>
      </c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111" t="s">
        <v>140</v>
      </c>
      <c r="AB104" s="111" t="s">
        <v>140</v>
      </c>
      <c r="AC104" s="111" t="s">
        <v>140</v>
      </c>
      <c r="AD104" s="111" t="s">
        <v>140</v>
      </c>
      <c r="AE104" s="111" t="s">
        <v>140</v>
      </c>
      <c r="AF104" s="111" t="s">
        <v>140</v>
      </c>
      <c r="AG104" s="111" t="s">
        <v>140</v>
      </c>
      <c r="AH104" s="111" t="s">
        <v>140</v>
      </c>
      <c r="AI104" s="111" t="s">
        <v>140</v>
      </c>
      <c r="AJ104" s="111" t="s">
        <v>140</v>
      </c>
      <c r="AK104" s="111" t="s">
        <v>140</v>
      </c>
      <c r="AL104" s="111" t="s">
        <v>140</v>
      </c>
      <c r="AM104" s="111" t="s">
        <v>140</v>
      </c>
      <c r="AN104" s="111" t="s">
        <v>140</v>
      </c>
      <c r="AO104" s="111" t="s">
        <v>140</v>
      </c>
      <c r="AP104" s="111" t="s">
        <v>140</v>
      </c>
      <c r="AQ104" s="114" t="s">
        <v>140</v>
      </c>
      <c r="AR104" s="111" t="s">
        <v>140</v>
      </c>
      <c r="AS104" s="111" t="s">
        <v>140</v>
      </c>
      <c r="AT104" s="111" t="s">
        <v>140</v>
      </c>
      <c r="AU104" s="111" t="s">
        <v>140</v>
      </c>
      <c r="AV104" s="111" t="s">
        <v>140</v>
      </c>
      <c r="AW104" s="111" t="s">
        <v>140</v>
      </c>
      <c r="AX104" s="111" t="s">
        <v>140</v>
      </c>
      <c r="AY104" s="111" t="s">
        <v>140</v>
      </c>
      <c r="AZ104" s="111" t="s">
        <v>140</v>
      </c>
      <c r="BA104" s="111" t="s">
        <v>140</v>
      </c>
      <c r="BB104" s="111" t="s">
        <v>140</v>
      </c>
      <c r="BC104" s="111" t="s">
        <v>140</v>
      </c>
      <c r="BD104" s="111" t="s">
        <v>140</v>
      </c>
      <c r="BE104" s="111" t="s">
        <v>140</v>
      </c>
      <c r="BF104" s="111" t="s">
        <v>140</v>
      </c>
      <c r="BG104" s="111" t="s">
        <v>140</v>
      </c>
      <c r="BH104" s="111" t="s">
        <v>140</v>
      </c>
      <c r="BI104" s="112" t="s">
        <v>140</v>
      </c>
      <c r="BJ104" s="59"/>
      <c r="BK104" s="59"/>
      <c r="BL104" s="59"/>
      <c r="BM104" s="59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</row>
    <row r="105" spans="2:81" x14ac:dyDescent="0.35">
      <c r="B105" s="109" t="s">
        <v>161</v>
      </c>
      <c r="C105" s="110">
        <v>1</v>
      </c>
      <c r="D105" s="111" t="s">
        <v>41</v>
      </c>
      <c r="E105" s="111" t="s">
        <v>162</v>
      </c>
      <c r="F105" s="112" t="s">
        <v>140</v>
      </c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111" t="s">
        <v>140</v>
      </c>
      <c r="AB105" s="111" t="s">
        <v>140</v>
      </c>
      <c r="AC105" s="111" t="s">
        <v>140</v>
      </c>
      <c r="AD105" s="111" t="s">
        <v>140</v>
      </c>
      <c r="AE105" s="111" t="s">
        <v>140</v>
      </c>
      <c r="AF105" s="111" t="s">
        <v>140</v>
      </c>
      <c r="AG105" s="111" t="s">
        <v>140</v>
      </c>
      <c r="AH105" s="111" t="s">
        <v>140</v>
      </c>
      <c r="AI105" s="111" t="s">
        <v>140</v>
      </c>
      <c r="AJ105" s="111" t="s">
        <v>140</v>
      </c>
      <c r="AK105" s="111" t="s">
        <v>140</v>
      </c>
      <c r="AL105" s="111" t="s">
        <v>140</v>
      </c>
      <c r="AM105" s="111" t="s">
        <v>140</v>
      </c>
      <c r="AN105" s="111" t="s">
        <v>140</v>
      </c>
      <c r="AO105" s="111" t="s">
        <v>140</v>
      </c>
      <c r="AP105" s="111" t="s">
        <v>140</v>
      </c>
      <c r="AQ105" s="111" t="s">
        <v>140</v>
      </c>
      <c r="AR105" s="111" t="s">
        <v>140</v>
      </c>
      <c r="AS105" s="111" t="s">
        <v>140</v>
      </c>
      <c r="AT105" s="111" t="s">
        <v>140</v>
      </c>
      <c r="AU105" s="111" t="s">
        <v>140</v>
      </c>
      <c r="AV105" s="111" t="s">
        <v>140</v>
      </c>
      <c r="AW105" s="113" t="s">
        <v>140</v>
      </c>
      <c r="AX105" s="113" t="s">
        <v>140</v>
      </c>
      <c r="AY105" s="113" t="s">
        <v>140</v>
      </c>
      <c r="AZ105" s="113" t="s">
        <v>140</v>
      </c>
      <c r="BA105" s="113" t="s">
        <v>140</v>
      </c>
      <c r="BB105" s="113" t="s">
        <v>140</v>
      </c>
      <c r="BC105" s="113" t="s">
        <v>140</v>
      </c>
      <c r="BD105" s="114" t="s">
        <v>140</v>
      </c>
      <c r="BE105" s="111" t="s">
        <v>140</v>
      </c>
      <c r="BF105" s="111" t="s">
        <v>140</v>
      </c>
      <c r="BG105" s="111" t="s">
        <v>140</v>
      </c>
      <c r="BH105" s="111" t="s">
        <v>140</v>
      </c>
      <c r="BI105" s="112" t="s">
        <v>140</v>
      </c>
      <c r="BJ105" s="59"/>
      <c r="BK105" s="59"/>
      <c r="BL105" s="59"/>
      <c r="BM105" s="59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</row>
    <row r="106" spans="2:81" x14ac:dyDescent="0.35">
      <c r="B106" s="109" t="s">
        <v>163</v>
      </c>
      <c r="C106" s="110">
        <v>1</v>
      </c>
      <c r="D106" s="111" t="s">
        <v>41</v>
      </c>
      <c r="E106" s="111" t="s">
        <v>41</v>
      </c>
      <c r="F106" s="112" t="s">
        <v>140</v>
      </c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111" t="s">
        <v>140</v>
      </c>
      <c r="AB106" s="111" t="s">
        <v>140</v>
      </c>
      <c r="AC106" s="111" t="s">
        <v>140</v>
      </c>
      <c r="AD106" s="111" t="s">
        <v>140</v>
      </c>
      <c r="AE106" s="111" t="s">
        <v>140</v>
      </c>
      <c r="AF106" s="111" t="s">
        <v>140</v>
      </c>
      <c r="AG106" s="111" t="s">
        <v>140</v>
      </c>
      <c r="AH106" s="111" t="s">
        <v>140</v>
      </c>
      <c r="AI106" s="111" t="s">
        <v>140</v>
      </c>
      <c r="AJ106" s="111" t="s">
        <v>140</v>
      </c>
      <c r="AK106" s="111" t="s">
        <v>140</v>
      </c>
      <c r="AL106" s="111" t="s">
        <v>140</v>
      </c>
      <c r="AM106" s="111" t="s">
        <v>140</v>
      </c>
      <c r="AN106" s="111" t="s">
        <v>140</v>
      </c>
      <c r="AO106" s="111" t="s">
        <v>140</v>
      </c>
      <c r="AP106" s="111" t="s">
        <v>140</v>
      </c>
      <c r="AQ106" s="111" t="s">
        <v>140</v>
      </c>
      <c r="AR106" s="111" t="s">
        <v>140</v>
      </c>
      <c r="AS106" s="111" t="s">
        <v>140</v>
      </c>
      <c r="AT106" s="111" t="s">
        <v>140</v>
      </c>
      <c r="AU106" s="111" t="s">
        <v>140</v>
      </c>
      <c r="AV106" s="111" t="s">
        <v>140</v>
      </c>
      <c r="AW106" s="114" t="s">
        <v>140</v>
      </c>
      <c r="AX106" s="111" t="s">
        <v>140</v>
      </c>
      <c r="AY106" s="111" t="s">
        <v>140</v>
      </c>
      <c r="AZ106" s="111" t="s">
        <v>140</v>
      </c>
      <c r="BA106" s="111" t="s">
        <v>140</v>
      </c>
      <c r="BB106" s="111" t="s">
        <v>140</v>
      </c>
      <c r="BC106" s="111" t="s">
        <v>140</v>
      </c>
      <c r="BD106" s="111" t="s">
        <v>140</v>
      </c>
      <c r="BE106" s="111" t="s">
        <v>140</v>
      </c>
      <c r="BF106" s="111" t="s">
        <v>140</v>
      </c>
      <c r="BG106" s="111" t="s">
        <v>140</v>
      </c>
      <c r="BH106" s="111" t="s">
        <v>140</v>
      </c>
      <c r="BI106" s="112" t="s">
        <v>140</v>
      </c>
      <c r="BJ106" s="59"/>
      <c r="BK106" s="59"/>
      <c r="BL106" s="59"/>
      <c r="BM106" s="59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</row>
    <row r="107" spans="2:81" x14ac:dyDescent="0.35">
      <c r="B107" s="109" t="s">
        <v>164</v>
      </c>
      <c r="C107" s="110">
        <v>1</v>
      </c>
      <c r="D107" s="111" t="s">
        <v>162</v>
      </c>
      <c r="E107" s="111" t="s">
        <v>162</v>
      </c>
      <c r="F107" s="112" t="s">
        <v>140</v>
      </c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111" t="s">
        <v>140</v>
      </c>
      <c r="AB107" s="111" t="s">
        <v>140</v>
      </c>
      <c r="AC107" s="111" t="s">
        <v>140</v>
      </c>
      <c r="AD107" s="111" t="s">
        <v>140</v>
      </c>
      <c r="AE107" s="111" t="s">
        <v>140</v>
      </c>
      <c r="AF107" s="111" t="s">
        <v>140</v>
      </c>
      <c r="AG107" s="111" t="s">
        <v>140</v>
      </c>
      <c r="AH107" s="111" t="s">
        <v>140</v>
      </c>
      <c r="AI107" s="111" t="s">
        <v>140</v>
      </c>
      <c r="AJ107" s="111" t="s">
        <v>140</v>
      </c>
      <c r="AK107" s="111" t="s">
        <v>140</v>
      </c>
      <c r="AL107" s="111" t="s">
        <v>140</v>
      </c>
      <c r="AM107" s="111" t="s">
        <v>140</v>
      </c>
      <c r="AN107" s="111" t="s">
        <v>140</v>
      </c>
      <c r="AO107" s="111" t="s">
        <v>140</v>
      </c>
      <c r="AP107" s="111" t="s">
        <v>140</v>
      </c>
      <c r="AQ107" s="111" t="s">
        <v>140</v>
      </c>
      <c r="AR107" s="111" t="s">
        <v>140</v>
      </c>
      <c r="AS107" s="111" t="s">
        <v>140</v>
      </c>
      <c r="AT107" s="111" t="s">
        <v>140</v>
      </c>
      <c r="AU107" s="111" t="s">
        <v>140</v>
      </c>
      <c r="AV107" s="111" t="s">
        <v>140</v>
      </c>
      <c r="AW107" s="111" t="s">
        <v>140</v>
      </c>
      <c r="AX107" s="111" t="s">
        <v>140</v>
      </c>
      <c r="AY107" s="111" t="s">
        <v>140</v>
      </c>
      <c r="AZ107" s="111" t="s">
        <v>140</v>
      </c>
      <c r="BA107" s="111" t="s">
        <v>140</v>
      </c>
      <c r="BB107" s="111" t="s">
        <v>140</v>
      </c>
      <c r="BC107" s="111" t="s">
        <v>140</v>
      </c>
      <c r="BD107" s="114" t="s">
        <v>140</v>
      </c>
      <c r="BE107" s="111" t="s">
        <v>140</v>
      </c>
      <c r="BF107" s="111" t="s">
        <v>140</v>
      </c>
      <c r="BG107" s="111" t="s">
        <v>140</v>
      </c>
      <c r="BH107" s="111" t="s">
        <v>140</v>
      </c>
      <c r="BI107" s="112" t="s">
        <v>140</v>
      </c>
      <c r="BJ107" s="59"/>
      <c r="BK107" s="59"/>
      <c r="BL107" s="59"/>
      <c r="BM107" s="59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</row>
    <row r="108" spans="2:81" ht="31" x14ac:dyDescent="0.35">
      <c r="B108" s="109" t="s">
        <v>165</v>
      </c>
      <c r="C108" s="110">
        <v>1</v>
      </c>
      <c r="D108" s="111" t="s">
        <v>41</v>
      </c>
      <c r="E108" s="111" t="s">
        <v>145</v>
      </c>
      <c r="F108" s="112" t="s">
        <v>140</v>
      </c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111" t="s">
        <v>140</v>
      </c>
      <c r="AB108" s="111" t="s">
        <v>140</v>
      </c>
      <c r="AC108" s="111" t="s">
        <v>140</v>
      </c>
      <c r="AD108" s="111" t="s">
        <v>140</v>
      </c>
      <c r="AE108" s="111" t="s">
        <v>140</v>
      </c>
      <c r="AF108" s="111" t="s">
        <v>140</v>
      </c>
      <c r="AG108" s="111" t="s">
        <v>140</v>
      </c>
      <c r="AH108" s="111" t="s">
        <v>140</v>
      </c>
      <c r="AI108" s="111" t="s">
        <v>140</v>
      </c>
      <c r="AJ108" s="111" t="s">
        <v>140</v>
      </c>
      <c r="AK108" s="111" t="s">
        <v>140</v>
      </c>
      <c r="AL108" s="111" t="s">
        <v>140</v>
      </c>
      <c r="AM108" s="111" t="s">
        <v>140</v>
      </c>
      <c r="AN108" s="111" t="s">
        <v>140</v>
      </c>
      <c r="AO108" s="111" t="s">
        <v>140</v>
      </c>
      <c r="AP108" s="111" t="s">
        <v>140</v>
      </c>
      <c r="AQ108" s="111" t="s">
        <v>140</v>
      </c>
      <c r="AR108" s="111" t="s">
        <v>140</v>
      </c>
      <c r="AS108" s="111" t="s">
        <v>140</v>
      </c>
      <c r="AT108" s="111" t="s">
        <v>140</v>
      </c>
      <c r="AU108" s="111" t="s">
        <v>140</v>
      </c>
      <c r="AV108" s="111" t="s">
        <v>140</v>
      </c>
      <c r="AW108" s="113" t="s">
        <v>140</v>
      </c>
      <c r="AX108" s="113" t="s">
        <v>140</v>
      </c>
      <c r="AY108" s="113" t="s">
        <v>140</v>
      </c>
      <c r="AZ108" s="113" t="s">
        <v>140</v>
      </c>
      <c r="BA108" s="113" t="s">
        <v>140</v>
      </c>
      <c r="BB108" s="113" t="s">
        <v>140</v>
      </c>
      <c r="BC108" s="113" t="s">
        <v>140</v>
      </c>
      <c r="BD108" s="113" t="s">
        <v>140</v>
      </c>
      <c r="BE108" s="114" t="s">
        <v>140</v>
      </c>
      <c r="BF108" s="111" t="s">
        <v>140</v>
      </c>
      <c r="BG108" s="111" t="s">
        <v>140</v>
      </c>
      <c r="BH108" s="111" t="s">
        <v>140</v>
      </c>
      <c r="BI108" s="112" t="s">
        <v>140</v>
      </c>
      <c r="BJ108" s="59"/>
      <c r="BK108" s="59"/>
      <c r="BL108" s="59"/>
      <c r="BM108" s="59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</row>
    <row r="109" spans="2:81" x14ac:dyDescent="0.35">
      <c r="B109" s="109" t="s">
        <v>166</v>
      </c>
      <c r="C109" s="110">
        <v>1</v>
      </c>
      <c r="D109" s="111" t="s">
        <v>77</v>
      </c>
      <c r="E109" s="111" t="s">
        <v>31</v>
      </c>
      <c r="F109" s="112" t="s">
        <v>140</v>
      </c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111" t="s">
        <v>140</v>
      </c>
      <c r="AB109" s="111" t="s">
        <v>140</v>
      </c>
      <c r="AC109" s="111" t="s">
        <v>140</v>
      </c>
      <c r="AD109" s="111" t="s">
        <v>140</v>
      </c>
      <c r="AE109" s="111" t="s">
        <v>140</v>
      </c>
      <c r="AF109" s="111" t="s">
        <v>140</v>
      </c>
      <c r="AG109" s="111" t="s">
        <v>140</v>
      </c>
      <c r="AH109" s="111" t="s">
        <v>140</v>
      </c>
      <c r="AI109" s="111" t="s">
        <v>140</v>
      </c>
      <c r="AJ109" s="111" t="s">
        <v>140</v>
      </c>
      <c r="AK109" s="111" t="s">
        <v>140</v>
      </c>
      <c r="AL109" s="111" t="s">
        <v>140</v>
      </c>
      <c r="AM109" s="111" t="s">
        <v>140</v>
      </c>
      <c r="AN109" s="111" t="s">
        <v>140</v>
      </c>
      <c r="AO109" s="111" t="s">
        <v>140</v>
      </c>
      <c r="AP109" s="111" t="s">
        <v>140</v>
      </c>
      <c r="AQ109" s="111" t="s">
        <v>140</v>
      </c>
      <c r="AR109" s="111" t="s">
        <v>140</v>
      </c>
      <c r="AS109" s="111" t="s">
        <v>140</v>
      </c>
      <c r="AT109" s="111" t="s">
        <v>140</v>
      </c>
      <c r="AU109" s="111" t="s">
        <v>140</v>
      </c>
      <c r="AV109" s="111" t="s">
        <v>140</v>
      </c>
      <c r="AW109" s="111" t="s">
        <v>140</v>
      </c>
      <c r="AX109" s="111" t="s">
        <v>140</v>
      </c>
      <c r="AY109" s="113" t="s">
        <v>140</v>
      </c>
      <c r="AZ109" s="113" t="s">
        <v>140</v>
      </c>
      <c r="BA109" s="113" t="s">
        <v>140</v>
      </c>
      <c r="BB109" s="113" t="s">
        <v>140</v>
      </c>
      <c r="BC109" s="113" t="s">
        <v>140</v>
      </c>
      <c r="BD109" s="113" t="s">
        <v>140</v>
      </c>
      <c r="BE109" s="113" t="s">
        <v>140</v>
      </c>
      <c r="BF109" s="113" t="s">
        <v>140</v>
      </c>
      <c r="BG109" s="113" t="s">
        <v>140</v>
      </c>
      <c r="BH109" s="113" t="s">
        <v>140</v>
      </c>
      <c r="BI109" s="115" t="s">
        <v>140</v>
      </c>
      <c r="BJ109" s="59"/>
      <c r="BK109" s="59"/>
      <c r="BL109" s="59"/>
      <c r="BM109" s="59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</row>
    <row r="110" spans="2:81" x14ac:dyDescent="0.35">
      <c r="B110" s="109" t="s">
        <v>167</v>
      </c>
      <c r="C110" s="110">
        <v>1</v>
      </c>
      <c r="D110" s="111" t="s">
        <v>77</v>
      </c>
      <c r="E110" s="111" t="s">
        <v>77</v>
      </c>
      <c r="F110" s="112" t="s">
        <v>140</v>
      </c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111" t="s">
        <v>140</v>
      </c>
      <c r="AB110" s="111" t="s">
        <v>140</v>
      </c>
      <c r="AC110" s="111" t="s">
        <v>140</v>
      </c>
      <c r="AD110" s="111" t="s">
        <v>140</v>
      </c>
      <c r="AE110" s="111" t="s">
        <v>140</v>
      </c>
      <c r="AF110" s="111" t="s">
        <v>140</v>
      </c>
      <c r="AG110" s="111" t="s">
        <v>140</v>
      </c>
      <c r="AH110" s="111" t="s">
        <v>140</v>
      </c>
      <c r="AI110" s="111" t="s">
        <v>140</v>
      </c>
      <c r="AJ110" s="111" t="s">
        <v>140</v>
      </c>
      <c r="AK110" s="111" t="s">
        <v>140</v>
      </c>
      <c r="AL110" s="111" t="s">
        <v>140</v>
      </c>
      <c r="AM110" s="111" t="s">
        <v>140</v>
      </c>
      <c r="AN110" s="111" t="s">
        <v>140</v>
      </c>
      <c r="AO110" s="111" t="s">
        <v>140</v>
      </c>
      <c r="AP110" s="111" t="s">
        <v>140</v>
      </c>
      <c r="AQ110" s="111" t="s">
        <v>140</v>
      </c>
      <c r="AR110" s="111" t="s">
        <v>140</v>
      </c>
      <c r="AS110" s="111" t="s">
        <v>140</v>
      </c>
      <c r="AT110" s="111" t="s">
        <v>140</v>
      </c>
      <c r="AU110" s="111" t="s">
        <v>140</v>
      </c>
      <c r="AV110" s="111" t="s">
        <v>140</v>
      </c>
      <c r="AW110" s="111" t="s">
        <v>140</v>
      </c>
      <c r="AX110" s="111" t="s">
        <v>140</v>
      </c>
      <c r="AY110" s="114" t="s">
        <v>140</v>
      </c>
      <c r="AZ110" s="111" t="s">
        <v>140</v>
      </c>
      <c r="BA110" s="111" t="s">
        <v>140</v>
      </c>
      <c r="BB110" s="111" t="s">
        <v>140</v>
      </c>
      <c r="BC110" s="111" t="s">
        <v>140</v>
      </c>
      <c r="BD110" s="111" t="s">
        <v>140</v>
      </c>
      <c r="BE110" s="111" t="s">
        <v>140</v>
      </c>
      <c r="BF110" s="111" t="s">
        <v>140</v>
      </c>
      <c r="BG110" s="111" t="s">
        <v>140</v>
      </c>
      <c r="BH110" s="111" t="s">
        <v>140</v>
      </c>
      <c r="BI110" s="112" t="s">
        <v>140</v>
      </c>
      <c r="BJ110" s="59"/>
      <c r="BK110" s="59"/>
      <c r="BL110" s="59"/>
      <c r="BM110" s="59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</row>
    <row r="111" spans="2:81" x14ac:dyDescent="0.35">
      <c r="B111" s="109" t="s">
        <v>168</v>
      </c>
      <c r="C111" s="110">
        <v>1</v>
      </c>
      <c r="D111" s="111" t="s">
        <v>77</v>
      </c>
      <c r="E111" s="111" t="s">
        <v>77</v>
      </c>
      <c r="F111" s="112" t="s">
        <v>140</v>
      </c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111" t="s">
        <v>140</v>
      </c>
      <c r="AB111" s="111" t="s">
        <v>140</v>
      </c>
      <c r="AC111" s="111" t="s">
        <v>140</v>
      </c>
      <c r="AD111" s="111" t="s">
        <v>140</v>
      </c>
      <c r="AE111" s="111" t="s">
        <v>140</v>
      </c>
      <c r="AF111" s="111" t="s">
        <v>140</v>
      </c>
      <c r="AG111" s="111" t="s">
        <v>140</v>
      </c>
      <c r="AH111" s="111" t="s">
        <v>140</v>
      </c>
      <c r="AI111" s="111" t="s">
        <v>140</v>
      </c>
      <c r="AJ111" s="111" t="s">
        <v>140</v>
      </c>
      <c r="AK111" s="111" t="s">
        <v>140</v>
      </c>
      <c r="AL111" s="111" t="s">
        <v>140</v>
      </c>
      <c r="AM111" s="111" t="s">
        <v>140</v>
      </c>
      <c r="AN111" s="111" t="s">
        <v>140</v>
      </c>
      <c r="AO111" s="111" t="s">
        <v>140</v>
      </c>
      <c r="AP111" s="111" t="s">
        <v>140</v>
      </c>
      <c r="AQ111" s="111" t="s">
        <v>140</v>
      </c>
      <c r="AR111" s="111" t="s">
        <v>140</v>
      </c>
      <c r="AS111" s="111" t="s">
        <v>140</v>
      </c>
      <c r="AT111" s="111" t="s">
        <v>140</v>
      </c>
      <c r="AU111" s="111" t="s">
        <v>140</v>
      </c>
      <c r="AV111" s="111" t="s">
        <v>140</v>
      </c>
      <c r="AW111" s="111" t="s">
        <v>140</v>
      </c>
      <c r="AX111" s="111" t="s">
        <v>140</v>
      </c>
      <c r="AY111" s="114" t="s">
        <v>140</v>
      </c>
      <c r="AZ111" s="111" t="s">
        <v>140</v>
      </c>
      <c r="BA111" s="111" t="s">
        <v>140</v>
      </c>
      <c r="BB111" s="111" t="s">
        <v>140</v>
      </c>
      <c r="BC111" s="111" t="s">
        <v>140</v>
      </c>
      <c r="BD111" s="111" t="s">
        <v>140</v>
      </c>
      <c r="BE111" s="111" t="s">
        <v>140</v>
      </c>
      <c r="BF111" s="111" t="s">
        <v>140</v>
      </c>
      <c r="BG111" s="111" t="s">
        <v>140</v>
      </c>
      <c r="BH111" s="111" t="s">
        <v>140</v>
      </c>
      <c r="BI111" s="112" t="s">
        <v>140</v>
      </c>
      <c r="BJ111" s="59"/>
      <c r="BK111" s="59"/>
      <c r="BL111" s="59"/>
      <c r="BM111" s="59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</row>
    <row r="112" spans="2:81" x14ac:dyDescent="0.35">
      <c r="B112" s="109" t="s">
        <v>169</v>
      </c>
      <c r="C112" s="110">
        <v>1</v>
      </c>
      <c r="D112" s="111" t="s">
        <v>77</v>
      </c>
      <c r="E112" s="111" t="s">
        <v>77</v>
      </c>
      <c r="F112" s="112" t="s">
        <v>140</v>
      </c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111" t="s">
        <v>140</v>
      </c>
      <c r="AB112" s="111" t="s">
        <v>140</v>
      </c>
      <c r="AC112" s="111" t="s">
        <v>140</v>
      </c>
      <c r="AD112" s="111" t="s">
        <v>140</v>
      </c>
      <c r="AE112" s="111" t="s">
        <v>140</v>
      </c>
      <c r="AF112" s="111" t="s">
        <v>140</v>
      </c>
      <c r="AG112" s="111" t="s">
        <v>140</v>
      </c>
      <c r="AH112" s="111" t="s">
        <v>140</v>
      </c>
      <c r="AI112" s="111" t="s">
        <v>140</v>
      </c>
      <c r="AJ112" s="111" t="s">
        <v>140</v>
      </c>
      <c r="AK112" s="111" t="s">
        <v>140</v>
      </c>
      <c r="AL112" s="111" t="s">
        <v>140</v>
      </c>
      <c r="AM112" s="111" t="s">
        <v>140</v>
      </c>
      <c r="AN112" s="111" t="s">
        <v>140</v>
      </c>
      <c r="AO112" s="111" t="s">
        <v>140</v>
      </c>
      <c r="AP112" s="111" t="s">
        <v>140</v>
      </c>
      <c r="AQ112" s="111" t="s">
        <v>140</v>
      </c>
      <c r="AR112" s="111" t="s">
        <v>140</v>
      </c>
      <c r="AS112" s="111" t="s">
        <v>140</v>
      </c>
      <c r="AT112" s="111" t="s">
        <v>140</v>
      </c>
      <c r="AU112" s="111" t="s">
        <v>140</v>
      </c>
      <c r="AV112" s="111" t="s">
        <v>140</v>
      </c>
      <c r="AW112" s="111" t="s">
        <v>140</v>
      </c>
      <c r="AX112" s="111" t="s">
        <v>140</v>
      </c>
      <c r="AY112" s="114" t="s">
        <v>140</v>
      </c>
      <c r="AZ112" s="111" t="s">
        <v>140</v>
      </c>
      <c r="BA112" s="111" t="s">
        <v>140</v>
      </c>
      <c r="BB112" s="111" t="s">
        <v>140</v>
      </c>
      <c r="BC112" s="111" t="s">
        <v>140</v>
      </c>
      <c r="BD112" s="111" t="s">
        <v>140</v>
      </c>
      <c r="BE112" s="111" t="s">
        <v>140</v>
      </c>
      <c r="BF112" s="111" t="s">
        <v>140</v>
      </c>
      <c r="BG112" s="111" t="s">
        <v>140</v>
      </c>
      <c r="BH112" s="111" t="s">
        <v>140</v>
      </c>
      <c r="BI112" s="112" t="s">
        <v>140</v>
      </c>
      <c r="BJ112" s="59"/>
      <c r="BK112" s="59"/>
      <c r="BL112" s="59"/>
      <c r="BM112" s="59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</row>
    <row r="113" spans="2:81" x14ac:dyDescent="0.35">
      <c r="B113" s="109" t="s">
        <v>170</v>
      </c>
      <c r="C113" s="110">
        <v>1</v>
      </c>
      <c r="D113" s="111" t="s">
        <v>77</v>
      </c>
      <c r="E113" s="111" t="s">
        <v>77</v>
      </c>
      <c r="F113" s="112" t="s">
        <v>140</v>
      </c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111" t="s">
        <v>140</v>
      </c>
      <c r="AB113" s="111" t="s">
        <v>140</v>
      </c>
      <c r="AC113" s="111" t="s">
        <v>140</v>
      </c>
      <c r="AD113" s="111" t="s">
        <v>140</v>
      </c>
      <c r="AE113" s="111" t="s">
        <v>140</v>
      </c>
      <c r="AF113" s="111" t="s">
        <v>140</v>
      </c>
      <c r="AG113" s="111" t="s">
        <v>140</v>
      </c>
      <c r="AH113" s="111" t="s">
        <v>140</v>
      </c>
      <c r="AI113" s="111" t="s">
        <v>140</v>
      </c>
      <c r="AJ113" s="111" t="s">
        <v>140</v>
      </c>
      <c r="AK113" s="111" t="s">
        <v>140</v>
      </c>
      <c r="AL113" s="111" t="s">
        <v>140</v>
      </c>
      <c r="AM113" s="111" t="s">
        <v>140</v>
      </c>
      <c r="AN113" s="111" t="s">
        <v>140</v>
      </c>
      <c r="AO113" s="111" t="s">
        <v>140</v>
      </c>
      <c r="AP113" s="111" t="s">
        <v>140</v>
      </c>
      <c r="AQ113" s="111" t="s">
        <v>140</v>
      </c>
      <c r="AR113" s="111" t="s">
        <v>140</v>
      </c>
      <c r="AS113" s="111" t="s">
        <v>140</v>
      </c>
      <c r="AT113" s="111" t="s">
        <v>140</v>
      </c>
      <c r="AU113" s="111" t="s">
        <v>140</v>
      </c>
      <c r="AV113" s="111" t="s">
        <v>140</v>
      </c>
      <c r="AW113" s="111" t="s">
        <v>140</v>
      </c>
      <c r="AX113" s="111" t="s">
        <v>140</v>
      </c>
      <c r="AY113" s="114" t="s">
        <v>140</v>
      </c>
      <c r="AZ113" s="111" t="s">
        <v>140</v>
      </c>
      <c r="BA113" s="111" t="s">
        <v>140</v>
      </c>
      <c r="BB113" s="111" t="s">
        <v>140</v>
      </c>
      <c r="BC113" s="111" t="s">
        <v>140</v>
      </c>
      <c r="BD113" s="111" t="s">
        <v>140</v>
      </c>
      <c r="BE113" s="111" t="s">
        <v>140</v>
      </c>
      <c r="BF113" s="111" t="s">
        <v>140</v>
      </c>
      <c r="BG113" s="111" t="s">
        <v>140</v>
      </c>
      <c r="BH113" s="111" t="s">
        <v>140</v>
      </c>
      <c r="BI113" s="112" t="s">
        <v>140</v>
      </c>
      <c r="BJ113" s="59"/>
      <c r="BK113" s="59"/>
      <c r="BL113" s="59"/>
      <c r="BM113" s="59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</row>
    <row r="114" spans="2:81" x14ac:dyDescent="0.35">
      <c r="B114" s="109" t="s">
        <v>171</v>
      </c>
      <c r="C114" s="110">
        <v>1</v>
      </c>
      <c r="D114" s="111" t="s">
        <v>77</v>
      </c>
      <c r="E114" s="111" t="s">
        <v>77</v>
      </c>
      <c r="F114" s="112" t="s">
        <v>140</v>
      </c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111" t="s">
        <v>140</v>
      </c>
      <c r="AB114" s="111" t="s">
        <v>140</v>
      </c>
      <c r="AC114" s="111" t="s">
        <v>140</v>
      </c>
      <c r="AD114" s="111" t="s">
        <v>140</v>
      </c>
      <c r="AE114" s="111" t="s">
        <v>140</v>
      </c>
      <c r="AF114" s="111" t="s">
        <v>140</v>
      </c>
      <c r="AG114" s="111" t="s">
        <v>140</v>
      </c>
      <c r="AH114" s="111" t="s">
        <v>140</v>
      </c>
      <c r="AI114" s="111" t="s">
        <v>140</v>
      </c>
      <c r="AJ114" s="111" t="s">
        <v>140</v>
      </c>
      <c r="AK114" s="111" t="s">
        <v>140</v>
      </c>
      <c r="AL114" s="111" t="s">
        <v>140</v>
      </c>
      <c r="AM114" s="111" t="s">
        <v>140</v>
      </c>
      <c r="AN114" s="111" t="s">
        <v>140</v>
      </c>
      <c r="AO114" s="111" t="s">
        <v>140</v>
      </c>
      <c r="AP114" s="111" t="s">
        <v>140</v>
      </c>
      <c r="AQ114" s="111" t="s">
        <v>140</v>
      </c>
      <c r="AR114" s="111" t="s">
        <v>140</v>
      </c>
      <c r="AS114" s="111" t="s">
        <v>140</v>
      </c>
      <c r="AT114" s="111" t="s">
        <v>140</v>
      </c>
      <c r="AU114" s="111" t="s">
        <v>140</v>
      </c>
      <c r="AV114" s="111" t="s">
        <v>140</v>
      </c>
      <c r="AW114" s="111" t="s">
        <v>140</v>
      </c>
      <c r="AX114" s="111" t="s">
        <v>140</v>
      </c>
      <c r="AY114" s="114" t="s">
        <v>140</v>
      </c>
      <c r="AZ114" s="111" t="s">
        <v>140</v>
      </c>
      <c r="BA114" s="111" t="s">
        <v>140</v>
      </c>
      <c r="BB114" s="111" t="s">
        <v>140</v>
      </c>
      <c r="BC114" s="111" t="s">
        <v>140</v>
      </c>
      <c r="BD114" s="111" t="s">
        <v>140</v>
      </c>
      <c r="BE114" s="111" t="s">
        <v>140</v>
      </c>
      <c r="BF114" s="111" t="s">
        <v>140</v>
      </c>
      <c r="BG114" s="111" t="s">
        <v>140</v>
      </c>
      <c r="BH114" s="111" t="s">
        <v>140</v>
      </c>
      <c r="BI114" s="112" t="s">
        <v>140</v>
      </c>
      <c r="BJ114" s="59"/>
      <c r="BK114" s="59"/>
      <c r="BL114" s="59"/>
      <c r="BM114" s="59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</row>
    <row r="115" spans="2:81" x14ac:dyDescent="0.35">
      <c r="B115" s="109" t="s">
        <v>172</v>
      </c>
      <c r="C115" s="110">
        <v>1</v>
      </c>
      <c r="D115" s="111" t="s">
        <v>77</v>
      </c>
      <c r="E115" s="111" t="s">
        <v>77</v>
      </c>
      <c r="F115" s="112" t="s">
        <v>140</v>
      </c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111" t="s">
        <v>140</v>
      </c>
      <c r="AB115" s="111" t="s">
        <v>140</v>
      </c>
      <c r="AC115" s="111" t="s">
        <v>140</v>
      </c>
      <c r="AD115" s="111" t="s">
        <v>140</v>
      </c>
      <c r="AE115" s="111" t="s">
        <v>140</v>
      </c>
      <c r="AF115" s="111" t="s">
        <v>140</v>
      </c>
      <c r="AG115" s="111" t="s">
        <v>140</v>
      </c>
      <c r="AH115" s="111" t="s">
        <v>140</v>
      </c>
      <c r="AI115" s="111" t="s">
        <v>140</v>
      </c>
      <c r="AJ115" s="111" t="s">
        <v>140</v>
      </c>
      <c r="AK115" s="111" t="s">
        <v>140</v>
      </c>
      <c r="AL115" s="111" t="s">
        <v>140</v>
      </c>
      <c r="AM115" s="111" t="s">
        <v>140</v>
      </c>
      <c r="AN115" s="111" t="s">
        <v>140</v>
      </c>
      <c r="AO115" s="111" t="s">
        <v>140</v>
      </c>
      <c r="AP115" s="111" t="s">
        <v>140</v>
      </c>
      <c r="AQ115" s="111" t="s">
        <v>140</v>
      </c>
      <c r="AR115" s="111" t="s">
        <v>140</v>
      </c>
      <c r="AS115" s="111" t="s">
        <v>140</v>
      </c>
      <c r="AT115" s="111" t="s">
        <v>140</v>
      </c>
      <c r="AU115" s="111" t="s">
        <v>140</v>
      </c>
      <c r="AV115" s="111" t="s">
        <v>140</v>
      </c>
      <c r="AW115" s="111" t="s">
        <v>140</v>
      </c>
      <c r="AX115" s="111" t="s">
        <v>140</v>
      </c>
      <c r="AY115" s="114" t="s">
        <v>140</v>
      </c>
      <c r="AZ115" s="111" t="s">
        <v>140</v>
      </c>
      <c r="BA115" s="111" t="s">
        <v>140</v>
      </c>
      <c r="BB115" s="111" t="s">
        <v>140</v>
      </c>
      <c r="BC115" s="111" t="s">
        <v>140</v>
      </c>
      <c r="BD115" s="111" t="s">
        <v>140</v>
      </c>
      <c r="BE115" s="111" t="s">
        <v>140</v>
      </c>
      <c r="BF115" s="111" t="s">
        <v>140</v>
      </c>
      <c r="BG115" s="111" t="s">
        <v>140</v>
      </c>
      <c r="BH115" s="111" t="s">
        <v>140</v>
      </c>
      <c r="BI115" s="112" t="s">
        <v>140</v>
      </c>
      <c r="BJ115" s="59"/>
      <c r="BK115" s="59"/>
      <c r="BL115" s="59"/>
      <c r="BM115" s="59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</row>
    <row r="116" spans="2:81" x14ac:dyDescent="0.35">
      <c r="B116" s="109" t="s">
        <v>173</v>
      </c>
      <c r="C116" s="110">
        <v>1</v>
      </c>
      <c r="D116" s="111" t="s">
        <v>79</v>
      </c>
      <c r="E116" s="111" t="s">
        <v>79</v>
      </c>
      <c r="F116" s="112" t="s">
        <v>140</v>
      </c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111" t="s">
        <v>140</v>
      </c>
      <c r="AB116" s="111" t="s">
        <v>140</v>
      </c>
      <c r="AC116" s="111" t="s">
        <v>140</v>
      </c>
      <c r="AD116" s="111" t="s">
        <v>140</v>
      </c>
      <c r="AE116" s="111" t="s">
        <v>140</v>
      </c>
      <c r="AF116" s="111" t="s">
        <v>140</v>
      </c>
      <c r="AG116" s="111" t="s">
        <v>140</v>
      </c>
      <c r="AH116" s="111" t="s">
        <v>140</v>
      </c>
      <c r="AI116" s="111" t="s">
        <v>140</v>
      </c>
      <c r="AJ116" s="111" t="s">
        <v>140</v>
      </c>
      <c r="AK116" s="111" t="s">
        <v>140</v>
      </c>
      <c r="AL116" s="111" t="s">
        <v>140</v>
      </c>
      <c r="AM116" s="111" t="s">
        <v>140</v>
      </c>
      <c r="AN116" s="111" t="s">
        <v>140</v>
      </c>
      <c r="AO116" s="111" t="s">
        <v>140</v>
      </c>
      <c r="AP116" s="111" t="s">
        <v>140</v>
      </c>
      <c r="AQ116" s="111" t="s">
        <v>140</v>
      </c>
      <c r="AR116" s="111" t="s">
        <v>140</v>
      </c>
      <c r="AS116" s="111" t="s">
        <v>140</v>
      </c>
      <c r="AT116" s="111" t="s">
        <v>140</v>
      </c>
      <c r="AU116" s="111" t="s">
        <v>140</v>
      </c>
      <c r="AV116" s="111" t="s">
        <v>140</v>
      </c>
      <c r="AW116" s="111" t="s">
        <v>140</v>
      </c>
      <c r="AX116" s="111" t="s">
        <v>140</v>
      </c>
      <c r="AY116" s="111" t="s">
        <v>140</v>
      </c>
      <c r="AZ116" s="114" t="s">
        <v>140</v>
      </c>
      <c r="BA116" s="111" t="s">
        <v>140</v>
      </c>
      <c r="BB116" s="111" t="s">
        <v>140</v>
      </c>
      <c r="BC116" s="111" t="s">
        <v>140</v>
      </c>
      <c r="BD116" s="111" t="s">
        <v>140</v>
      </c>
      <c r="BE116" s="111" t="s">
        <v>140</v>
      </c>
      <c r="BF116" s="111" t="s">
        <v>140</v>
      </c>
      <c r="BG116" s="111" t="s">
        <v>140</v>
      </c>
      <c r="BH116" s="111" t="s">
        <v>140</v>
      </c>
      <c r="BI116" s="112" t="s">
        <v>140</v>
      </c>
      <c r="BJ116" s="59"/>
      <c r="BK116" s="59"/>
      <c r="BL116" s="59"/>
      <c r="BM116" s="59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</row>
    <row r="117" spans="2:81" x14ac:dyDescent="0.35">
      <c r="B117" s="109" t="s">
        <v>174</v>
      </c>
      <c r="C117" s="110">
        <v>1</v>
      </c>
      <c r="D117" s="111" t="s">
        <v>145</v>
      </c>
      <c r="E117" s="111" t="s">
        <v>145</v>
      </c>
      <c r="F117" s="112" t="s">
        <v>140</v>
      </c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111" t="s">
        <v>140</v>
      </c>
      <c r="AB117" s="111" t="s">
        <v>140</v>
      </c>
      <c r="AC117" s="111" t="s">
        <v>140</v>
      </c>
      <c r="AD117" s="111" t="s">
        <v>140</v>
      </c>
      <c r="AE117" s="111" t="s">
        <v>140</v>
      </c>
      <c r="AF117" s="111" t="s">
        <v>140</v>
      </c>
      <c r="AG117" s="111" t="s">
        <v>140</v>
      </c>
      <c r="AH117" s="111" t="s">
        <v>140</v>
      </c>
      <c r="AI117" s="111" t="s">
        <v>140</v>
      </c>
      <c r="AJ117" s="111" t="s">
        <v>140</v>
      </c>
      <c r="AK117" s="111" t="s">
        <v>140</v>
      </c>
      <c r="AL117" s="111" t="s">
        <v>140</v>
      </c>
      <c r="AM117" s="111" t="s">
        <v>140</v>
      </c>
      <c r="AN117" s="111" t="s">
        <v>140</v>
      </c>
      <c r="AO117" s="111" t="s">
        <v>140</v>
      </c>
      <c r="AP117" s="111" t="s">
        <v>140</v>
      </c>
      <c r="AQ117" s="111" t="s">
        <v>140</v>
      </c>
      <c r="AR117" s="111" t="s">
        <v>140</v>
      </c>
      <c r="AS117" s="111" t="s">
        <v>140</v>
      </c>
      <c r="AT117" s="111" t="s">
        <v>140</v>
      </c>
      <c r="AU117" s="111" t="s">
        <v>140</v>
      </c>
      <c r="AV117" s="111" t="s">
        <v>140</v>
      </c>
      <c r="AW117" s="111" t="s">
        <v>140</v>
      </c>
      <c r="AX117" s="111" t="s">
        <v>140</v>
      </c>
      <c r="AY117" s="111" t="s">
        <v>140</v>
      </c>
      <c r="AZ117" s="111" t="s">
        <v>140</v>
      </c>
      <c r="BA117" s="111" t="s">
        <v>140</v>
      </c>
      <c r="BB117" s="111" t="s">
        <v>140</v>
      </c>
      <c r="BC117" s="111" t="s">
        <v>140</v>
      </c>
      <c r="BD117" s="111" t="s">
        <v>140</v>
      </c>
      <c r="BE117" s="114" t="s">
        <v>140</v>
      </c>
      <c r="BF117" s="111" t="s">
        <v>140</v>
      </c>
      <c r="BG117" s="111" t="s">
        <v>140</v>
      </c>
      <c r="BH117" s="111" t="s">
        <v>140</v>
      </c>
      <c r="BI117" s="112" t="s">
        <v>140</v>
      </c>
      <c r="BJ117" s="59"/>
      <c r="BK117" s="59"/>
      <c r="BL117" s="59"/>
      <c r="BM117" s="59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</row>
    <row r="118" spans="2:81" ht="31" x14ac:dyDescent="0.35">
      <c r="B118" s="109" t="s">
        <v>175</v>
      </c>
      <c r="C118" s="110">
        <v>1</v>
      </c>
      <c r="D118" s="111" t="s">
        <v>98</v>
      </c>
      <c r="E118" s="111" t="s">
        <v>31</v>
      </c>
      <c r="F118" s="112" t="s">
        <v>140</v>
      </c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111" t="s">
        <v>140</v>
      </c>
      <c r="AB118" s="111" t="s">
        <v>140</v>
      </c>
      <c r="AC118" s="111" t="s">
        <v>140</v>
      </c>
      <c r="AD118" s="111" t="s">
        <v>140</v>
      </c>
      <c r="AE118" s="111" t="s">
        <v>140</v>
      </c>
      <c r="AF118" s="111" t="s">
        <v>140</v>
      </c>
      <c r="AG118" s="111" t="s">
        <v>140</v>
      </c>
      <c r="AH118" s="111" t="s">
        <v>140</v>
      </c>
      <c r="AI118" s="111" t="s">
        <v>140</v>
      </c>
      <c r="AJ118" s="111" t="s">
        <v>140</v>
      </c>
      <c r="AK118" s="111" t="s">
        <v>140</v>
      </c>
      <c r="AL118" s="111" t="s">
        <v>140</v>
      </c>
      <c r="AM118" s="111" t="s">
        <v>140</v>
      </c>
      <c r="AN118" s="111" t="s">
        <v>140</v>
      </c>
      <c r="AO118" s="111" t="s">
        <v>140</v>
      </c>
      <c r="AP118" s="111" t="s">
        <v>140</v>
      </c>
      <c r="AQ118" s="111" t="s">
        <v>140</v>
      </c>
      <c r="AR118" s="111" t="s">
        <v>140</v>
      </c>
      <c r="AS118" s="111" t="s">
        <v>140</v>
      </c>
      <c r="AT118" s="111" t="s">
        <v>140</v>
      </c>
      <c r="AU118" s="111" t="s">
        <v>140</v>
      </c>
      <c r="AV118" s="111" t="s">
        <v>140</v>
      </c>
      <c r="AW118" s="111" t="s">
        <v>140</v>
      </c>
      <c r="AX118" s="111" t="s">
        <v>140</v>
      </c>
      <c r="AY118" s="111" t="s">
        <v>140</v>
      </c>
      <c r="AZ118" s="111" t="s">
        <v>140</v>
      </c>
      <c r="BA118" s="111" t="s">
        <v>140</v>
      </c>
      <c r="BB118" s="111" t="s">
        <v>140</v>
      </c>
      <c r="BC118" s="111" t="s">
        <v>140</v>
      </c>
      <c r="BD118" s="111" t="s">
        <v>140</v>
      </c>
      <c r="BE118" s="111" t="s">
        <v>140</v>
      </c>
      <c r="BF118" s="111" t="s">
        <v>140</v>
      </c>
      <c r="BG118" s="113" t="s">
        <v>140</v>
      </c>
      <c r="BH118" s="113" t="s">
        <v>140</v>
      </c>
      <c r="BI118" s="115" t="s">
        <v>140</v>
      </c>
      <c r="BJ118" s="59"/>
      <c r="BK118" s="59"/>
      <c r="BL118" s="59"/>
      <c r="BM118" s="59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</row>
    <row r="119" spans="2:81" x14ac:dyDescent="0.35">
      <c r="B119" s="109" t="s">
        <v>176</v>
      </c>
      <c r="C119" s="110">
        <v>1</v>
      </c>
      <c r="D119" s="111" t="s">
        <v>79</v>
      </c>
      <c r="E119" s="111" t="s">
        <v>101</v>
      </c>
      <c r="F119" s="112" t="s">
        <v>140</v>
      </c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111" t="s">
        <v>140</v>
      </c>
      <c r="AB119" s="111" t="s">
        <v>140</v>
      </c>
      <c r="AC119" s="111" t="s">
        <v>140</v>
      </c>
      <c r="AD119" s="111" t="s">
        <v>140</v>
      </c>
      <c r="AE119" s="111" t="s">
        <v>140</v>
      </c>
      <c r="AF119" s="111" t="s">
        <v>140</v>
      </c>
      <c r="AG119" s="111" t="s">
        <v>140</v>
      </c>
      <c r="AH119" s="111" t="s">
        <v>140</v>
      </c>
      <c r="AI119" s="111" t="s">
        <v>140</v>
      </c>
      <c r="AJ119" s="111" t="s">
        <v>140</v>
      </c>
      <c r="AK119" s="111" t="s">
        <v>140</v>
      </c>
      <c r="AL119" s="111" t="s">
        <v>140</v>
      </c>
      <c r="AM119" s="111" t="s">
        <v>140</v>
      </c>
      <c r="AN119" s="111" t="s">
        <v>140</v>
      </c>
      <c r="AO119" s="111" t="s">
        <v>140</v>
      </c>
      <c r="AP119" s="111" t="s">
        <v>140</v>
      </c>
      <c r="AQ119" s="111" t="s">
        <v>140</v>
      </c>
      <c r="AR119" s="111" t="s">
        <v>140</v>
      </c>
      <c r="AS119" s="111" t="s">
        <v>140</v>
      </c>
      <c r="AT119" s="111" t="s">
        <v>140</v>
      </c>
      <c r="AU119" s="111" t="s">
        <v>140</v>
      </c>
      <c r="AV119" s="111" t="s">
        <v>140</v>
      </c>
      <c r="AW119" s="111" t="s">
        <v>140</v>
      </c>
      <c r="AX119" s="111" t="s">
        <v>140</v>
      </c>
      <c r="AY119" s="111" t="s">
        <v>140</v>
      </c>
      <c r="AZ119" s="113" t="s">
        <v>140</v>
      </c>
      <c r="BA119" s="113" t="s">
        <v>140</v>
      </c>
      <c r="BB119" s="113" t="s">
        <v>140</v>
      </c>
      <c r="BC119" s="113" t="s">
        <v>140</v>
      </c>
      <c r="BD119" s="113" t="s">
        <v>140</v>
      </c>
      <c r="BE119" s="113" t="s">
        <v>140</v>
      </c>
      <c r="BF119" s="113" t="s">
        <v>140</v>
      </c>
      <c r="BG119" s="113" t="s">
        <v>140</v>
      </c>
      <c r="BH119" s="114" t="s">
        <v>140</v>
      </c>
      <c r="BI119" s="112" t="s">
        <v>140</v>
      </c>
      <c r="BJ119" s="59"/>
      <c r="BK119" s="59"/>
      <c r="BL119" s="59"/>
      <c r="BM119" s="59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</row>
    <row r="120" spans="2:81" x14ac:dyDescent="0.35">
      <c r="B120" s="109" t="s">
        <v>177</v>
      </c>
      <c r="C120" s="110">
        <v>1</v>
      </c>
      <c r="D120" s="111" t="s">
        <v>79</v>
      </c>
      <c r="E120" s="111" t="s">
        <v>79</v>
      </c>
      <c r="F120" s="112" t="s">
        <v>140</v>
      </c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111" t="s">
        <v>140</v>
      </c>
      <c r="AB120" s="111" t="s">
        <v>140</v>
      </c>
      <c r="AC120" s="111" t="s">
        <v>140</v>
      </c>
      <c r="AD120" s="111" t="s">
        <v>140</v>
      </c>
      <c r="AE120" s="111" t="s">
        <v>140</v>
      </c>
      <c r="AF120" s="111" t="s">
        <v>140</v>
      </c>
      <c r="AG120" s="111" t="s">
        <v>140</v>
      </c>
      <c r="AH120" s="111" t="s">
        <v>140</v>
      </c>
      <c r="AI120" s="111" t="s">
        <v>140</v>
      </c>
      <c r="AJ120" s="111" t="s">
        <v>140</v>
      </c>
      <c r="AK120" s="111" t="s">
        <v>140</v>
      </c>
      <c r="AL120" s="111" t="s">
        <v>140</v>
      </c>
      <c r="AM120" s="111" t="s">
        <v>140</v>
      </c>
      <c r="AN120" s="111" t="s">
        <v>140</v>
      </c>
      <c r="AO120" s="111" t="s">
        <v>140</v>
      </c>
      <c r="AP120" s="111" t="s">
        <v>140</v>
      </c>
      <c r="AQ120" s="111" t="s">
        <v>140</v>
      </c>
      <c r="AR120" s="111" t="s">
        <v>140</v>
      </c>
      <c r="AS120" s="111" t="s">
        <v>140</v>
      </c>
      <c r="AT120" s="111" t="s">
        <v>140</v>
      </c>
      <c r="AU120" s="111" t="s">
        <v>140</v>
      </c>
      <c r="AV120" s="111" t="s">
        <v>140</v>
      </c>
      <c r="AW120" s="111" t="s">
        <v>140</v>
      </c>
      <c r="AX120" s="111" t="s">
        <v>140</v>
      </c>
      <c r="AY120" s="111" t="s">
        <v>140</v>
      </c>
      <c r="AZ120" s="114" t="s">
        <v>140</v>
      </c>
      <c r="BA120" s="111" t="s">
        <v>140</v>
      </c>
      <c r="BB120" s="111" t="s">
        <v>140</v>
      </c>
      <c r="BC120" s="111" t="s">
        <v>140</v>
      </c>
      <c r="BD120" s="111" t="s">
        <v>140</v>
      </c>
      <c r="BE120" s="111" t="s">
        <v>140</v>
      </c>
      <c r="BF120" s="111" t="s">
        <v>140</v>
      </c>
      <c r="BG120" s="111" t="s">
        <v>140</v>
      </c>
      <c r="BH120" s="111" t="s">
        <v>140</v>
      </c>
      <c r="BI120" s="112" t="s">
        <v>140</v>
      </c>
      <c r="BJ120" s="59"/>
      <c r="BK120" s="59"/>
      <c r="BL120" s="59"/>
      <c r="BM120" s="59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</row>
    <row r="121" spans="2:81" x14ac:dyDescent="0.35">
      <c r="B121" s="109" t="s">
        <v>178</v>
      </c>
      <c r="C121" s="110">
        <v>1</v>
      </c>
      <c r="D121" s="111" t="s">
        <v>101</v>
      </c>
      <c r="E121" s="111" t="s">
        <v>101</v>
      </c>
      <c r="F121" s="112" t="s">
        <v>140</v>
      </c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111" t="s">
        <v>140</v>
      </c>
      <c r="AB121" s="111" t="s">
        <v>140</v>
      </c>
      <c r="AC121" s="111" t="s">
        <v>140</v>
      </c>
      <c r="AD121" s="111" t="s">
        <v>140</v>
      </c>
      <c r="AE121" s="111" t="s">
        <v>140</v>
      </c>
      <c r="AF121" s="111" t="s">
        <v>140</v>
      </c>
      <c r="AG121" s="111" t="s">
        <v>140</v>
      </c>
      <c r="AH121" s="111" t="s">
        <v>140</v>
      </c>
      <c r="AI121" s="111" t="s">
        <v>140</v>
      </c>
      <c r="AJ121" s="111" t="s">
        <v>140</v>
      </c>
      <c r="AK121" s="111" t="s">
        <v>140</v>
      </c>
      <c r="AL121" s="111" t="s">
        <v>140</v>
      </c>
      <c r="AM121" s="111" t="s">
        <v>140</v>
      </c>
      <c r="AN121" s="111" t="s">
        <v>140</v>
      </c>
      <c r="AO121" s="111" t="s">
        <v>140</v>
      </c>
      <c r="AP121" s="111" t="s">
        <v>140</v>
      </c>
      <c r="AQ121" s="111" t="s">
        <v>140</v>
      </c>
      <c r="AR121" s="111" t="s">
        <v>140</v>
      </c>
      <c r="AS121" s="111" t="s">
        <v>140</v>
      </c>
      <c r="AT121" s="111" t="s">
        <v>140</v>
      </c>
      <c r="AU121" s="111" t="s">
        <v>140</v>
      </c>
      <c r="AV121" s="111" t="s">
        <v>140</v>
      </c>
      <c r="AW121" s="111" t="s">
        <v>140</v>
      </c>
      <c r="AX121" s="111" t="s">
        <v>140</v>
      </c>
      <c r="AY121" s="111" t="s">
        <v>140</v>
      </c>
      <c r="AZ121" s="111" t="s">
        <v>140</v>
      </c>
      <c r="BA121" s="111" t="s">
        <v>140</v>
      </c>
      <c r="BB121" s="111" t="s">
        <v>140</v>
      </c>
      <c r="BC121" s="111" t="s">
        <v>140</v>
      </c>
      <c r="BD121" s="111" t="s">
        <v>140</v>
      </c>
      <c r="BE121" s="111" t="s">
        <v>140</v>
      </c>
      <c r="BF121" s="111" t="s">
        <v>140</v>
      </c>
      <c r="BG121" s="111" t="s">
        <v>140</v>
      </c>
      <c r="BH121" s="114" t="s">
        <v>140</v>
      </c>
      <c r="BI121" s="112" t="s">
        <v>140</v>
      </c>
      <c r="BJ121" s="59"/>
      <c r="BK121" s="59"/>
      <c r="BL121" s="59"/>
      <c r="BM121" s="59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</row>
    <row r="122" spans="2:81" x14ac:dyDescent="0.35">
      <c r="B122" s="109" t="s">
        <v>179</v>
      </c>
      <c r="C122" s="110">
        <v>1</v>
      </c>
      <c r="D122" s="111" t="s">
        <v>81</v>
      </c>
      <c r="E122" s="111" t="s">
        <v>81</v>
      </c>
      <c r="F122" s="112" t="s">
        <v>140</v>
      </c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111" t="s">
        <v>140</v>
      </c>
      <c r="AB122" s="111" t="s">
        <v>140</v>
      </c>
      <c r="AC122" s="111" t="s">
        <v>140</v>
      </c>
      <c r="AD122" s="111" t="s">
        <v>140</v>
      </c>
      <c r="AE122" s="111" t="s">
        <v>140</v>
      </c>
      <c r="AF122" s="111" t="s">
        <v>140</v>
      </c>
      <c r="AG122" s="111" t="s">
        <v>140</v>
      </c>
      <c r="AH122" s="111" t="s">
        <v>140</v>
      </c>
      <c r="AI122" s="111" t="s">
        <v>140</v>
      </c>
      <c r="AJ122" s="111" t="s">
        <v>140</v>
      </c>
      <c r="AK122" s="111" t="s">
        <v>140</v>
      </c>
      <c r="AL122" s="111" t="s">
        <v>140</v>
      </c>
      <c r="AM122" s="111" t="s">
        <v>140</v>
      </c>
      <c r="AN122" s="111" t="s">
        <v>140</v>
      </c>
      <c r="AO122" s="111" t="s">
        <v>140</v>
      </c>
      <c r="AP122" s="111" t="s">
        <v>140</v>
      </c>
      <c r="AQ122" s="111" t="s">
        <v>140</v>
      </c>
      <c r="AR122" s="111" t="s">
        <v>140</v>
      </c>
      <c r="AS122" s="111" t="s">
        <v>140</v>
      </c>
      <c r="AT122" s="111" t="s">
        <v>140</v>
      </c>
      <c r="AU122" s="111" t="s">
        <v>140</v>
      </c>
      <c r="AV122" s="111" t="s">
        <v>140</v>
      </c>
      <c r="AW122" s="111" t="s">
        <v>140</v>
      </c>
      <c r="AX122" s="111" t="s">
        <v>140</v>
      </c>
      <c r="AY122" s="111" t="s">
        <v>140</v>
      </c>
      <c r="AZ122" s="111" t="s">
        <v>140</v>
      </c>
      <c r="BA122" s="111" t="s">
        <v>140</v>
      </c>
      <c r="BB122" s="114" t="s">
        <v>140</v>
      </c>
      <c r="BC122" s="111" t="s">
        <v>140</v>
      </c>
      <c r="BD122" s="111" t="s">
        <v>140</v>
      </c>
      <c r="BE122" s="111" t="s">
        <v>140</v>
      </c>
      <c r="BF122" s="111" t="s">
        <v>140</v>
      </c>
      <c r="BG122" s="111" t="s">
        <v>140</v>
      </c>
      <c r="BH122" s="111" t="s">
        <v>140</v>
      </c>
      <c r="BI122" s="112" t="s">
        <v>140</v>
      </c>
      <c r="BJ122" s="59"/>
      <c r="BK122" s="59"/>
      <c r="BL122" s="59"/>
      <c r="BM122" s="59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</row>
    <row r="123" spans="2:81" x14ac:dyDescent="0.35">
      <c r="B123" s="109" t="s">
        <v>180</v>
      </c>
      <c r="C123" s="110">
        <v>1</v>
      </c>
      <c r="D123" s="111" t="s">
        <v>145</v>
      </c>
      <c r="E123" s="111" t="s">
        <v>145</v>
      </c>
      <c r="F123" s="112" t="s">
        <v>140</v>
      </c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111" t="s">
        <v>140</v>
      </c>
      <c r="AB123" s="111" t="s">
        <v>140</v>
      </c>
      <c r="AC123" s="111" t="s">
        <v>140</v>
      </c>
      <c r="AD123" s="111" t="s">
        <v>140</v>
      </c>
      <c r="AE123" s="111" t="s">
        <v>140</v>
      </c>
      <c r="AF123" s="111" t="s">
        <v>140</v>
      </c>
      <c r="AG123" s="111" t="s">
        <v>140</v>
      </c>
      <c r="AH123" s="111" t="s">
        <v>140</v>
      </c>
      <c r="AI123" s="111" t="s">
        <v>140</v>
      </c>
      <c r="AJ123" s="111" t="s">
        <v>140</v>
      </c>
      <c r="AK123" s="111" t="s">
        <v>140</v>
      </c>
      <c r="AL123" s="111" t="s">
        <v>140</v>
      </c>
      <c r="AM123" s="111" t="s">
        <v>140</v>
      </c>
      <c r="AN123" s="111" t="s">
        <v>140</v>
      </c>
      <c r="AO123" s="111" t="s">
        <v>140</v>
      </c>
      <c r="AP123" s="111" t="s">
        <v>140</v>
      </c>
      <c r="AQ123" s="111" t="s">
        <v>140</v>
      </c>
      <c r="AR123" s="111" t="s">
        <v>140</v>
      </c>
      <c r="AS123" s="111" t="s">
        <v>140</v>
      </c>
      <c r="AT123" s="111" t="s">
        <v>140</v>
      </c>
      <c r="AU123" s="111" t="s">
        <v>140</v>
      </c>
      <c r="AV123" s="111" t="s">
        <v>140</v>
      </c>
      <c r="AW123" s="111" t="s">
        <v>140</v>
      </c>
      <c r="AX123" s="111" t="s">
        <v>140</v>
      </c>
      <c r="AY123" s="111" t="s">
        <v>140</v>
      </c>
      <c r="AZ123" s="111" t="s">
        <v>140</v>
      </c>
      <c r="BA123" s="111" t="s">
        <v>140</v>
      </c>
      <c r="BB123" s="111" t="s">
        <v>140</v>
      </c>
      <c r="BC123" s="111" t="s">
        <v>140</v>
      </c>
      <c r="BD123" s="111" t="s">
        <v>140</v>
      </c>
      <c r="BE123" s="114" t="s">
        <v>140</v>
      </c>
      <c r="BF123" s="111" t="s">
        <v>140</v>
      </c>
      <c r="BG123" s="111" t="s">
        <v>140</v>
      </c>
      <c r="BH123" s="111" t="s">
        <v>140</v>
      </c>
      <c r="BI123" s="112" t="s">
        <v>140</v>
      </c>
      <c r="BJ123" s="59"/>
      <c r="BK123" s="59"/>
      <c r="BL123" s="59"/>
      <c r="BM123" s="59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</row>
    <row r="124" spans="2:81" x14ac:dyDescent="0.35">
      <c r="B124" s="116" t="s">
        <v>181</v>
      </c>
      <c r="C124" s="117">
        <v>1</v>
      </c>
      <c r="D124" s="118" t="s">
        <v>83</v>
      </c>
      <c r="E124" s="118" t="s">
        <v>83</v>
      </c>
      <c r="F124" s="119" t="s">
        <v>140</v>
      </c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118" t="s">
        <v>140</v>
      </c>
      <c r="AB124" s="118" t="s">
        <v>140</v>
      </c>
      <c r="AC124" s="118" t="s">
        <v>140</v>
      </c>
      <c r="AD124" s="118" t="s">
        <v>140</v>
      </c>
      <c r="AE124" s="118" t="s">
        <v>140</v>
      </c>
      <c r="AF124" s="118" t="s">
        <v>140</v>
      </c>
      <c r="AG124" s="118" t="s">
        <v>140</v>
      </c>
      <c r="AH124" s="118" t="s">
        <v>140</v>
      </c>
      <c r="AI124" s="118" t="s">
        <v>140</v>
      </c>
      <c r="AJ124" s="118" t="s">
        <v>140</v>
      </c>
      <c r="AK124" s="118" t="s">
        <v>140</v>
      </c>
      <c r="AL124" s="118" t="s">
        <v>140</v>
      </c>
      <c r="AM124" s="118" t="s">
        <v>140</v>
      </c>
      <c r="AN124" s="118" t="s">
        <v>140</v>
      </c>
      <c r="AO124" s="118" t="s">
        <v>140</v>
      </c>
      <c r="AP124" s="118" t="s">
        <v>140</v>
      </c>
      <c r="AQ124" s="118" t="s">
        <v>140</v>
      </c>
      <c r="AR124" s="118" t="s">
        <v>140</v>
      </c>
      <c r="AS124" s="118" t="s">
        <v>140</v>
      </c>
      <c r="AT124" s="118" t="s">
        <v>140</v>
      </c>
      <c r="AU124" s="118" t="s">
        <v>140</v>
      </c>
      <c r="AV124" s="118" t="s">
        <v>140</v>
      </c>
      <c r="AW124" s="118" t="s">
        <v>140</v>
      </c>
      <c r="AX124" s="118" t="s">
        <v>140</v>
      </c>
      <c r="AY124" s="118" t="s">
        <v>140</v>
      </c>
      <c r="AZ124" s="118" t="s">
        <v>140</v>
      </c>
      <c r="BA124" s="120" t="s">
        <v>140</v>
      </c>
      <c r="BB124" s="118" t="s">
        <v>140</v>
      </c>
      <c r="BC124" s="118" t="s">
        <v>140</v>
      </c>
      <c r="BD124" s="118" t="s">
        <v>140</v>
      </c>
      <c r="BE124" s="118" t="s">
        <v>140</v>
      </c>
      <c r="BF124" s="118" t="s">
        <v>140</v>
      </c>
      <c r="BG124" s="118" t="s">
        <v>140</v>
      </c>
      <c r="BH124" s="118" t="s">
        <v>140</v>
      </c>
      <c r="BI124" s="119" t="s">
        <v>140</v>
      </c>
      <c r="BJ124" s="67"/>
      <c r="BK124" s="67"/>
      <c r="BL124" s="67"/>
      <c r="BM124" s="67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</row>
    <row r="125" spans="2:81" ht="18" x14ac:dyDescent="0.4">
      <c r="B125" s="89" t="s">
        <v>182</v>
      </c>
      <c r="C125" s="90">
        <v>1</v>
      </c>
      <c r="D125" s="91" t="s">
        <v>63</v>
      </c>
      <c r="E125" s="91" t="s">
        <v>31</v>
      </c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2" t="s">
        <v>140</v>
      </c>
      <c r="BG125" s="122" t="s">
        <v>140</v>
      </c>
      <c r="BH125" s="122" t="s">
        <v>140</v>
      </c>
      <c r="BI125" s="123" t="s">
        <v>140</v>
      </c>
      <c r="BJ125" s="59"/>
      <c r="BK125" s="59"/>
      <c r="BL125" s="59"/>
      <c r="BM125" s="59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</row>
    <row r="126" spans="2:81" x14ac:dyDescent="0.35">
      <c r="B126" s="93" t="s">
        <v>183</v>
      </c>
      <c r="C126" s="94">
        <v>1</v>
      </c>
      <c r="D126" s="95" t="s">
        <v>63</v>
      </c>
      <c r="E126" s="95" t="s">
        <v>98</v>
      </c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122" t="s">
        <v>140</v>
      </c>
      <c r="BG126" s="123" t="s">
        <v>140</v>
      </c>
      <c r="BH126" s="124"/>
      <c r="BI126" s="124"/>
      <c r="BJ126" s="59"/>
      <c r="BK126" s="59"/>
      <c r="BL126" s="59"/>
      <c r="BM126" s="59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</row>
    <row r="127" spans="2:81" x14ac:dyDescent="0.35">
      <c r="B127" s="93" t="s">
        <v>184</v>
      </c>
      <c r="C127" s="94">
        <v>1</v>
      </c>
      <c r="D127" s="95" t="s">
        <v>63</v>
      </c>
      <c r="E127" s="95" t="s">
        <v>63</v>
      </c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123" t="s">
        <v>140</v>
      </c>
      <c r="BG127" s="124"/>
      <c r="BH127" s="124"/>
      <c r="BI127" s="124"/>
      <c r="BJ127" s="59"/>
      <c r="BK127" s="59"/>
      <c r="BL127" s="59"/>
      <c r="BM127" s="59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</row>
    <row r="128" spans="2:81" x14ac:dyDescent="0.35">
      <c r="B128" s="93" t="s">
        <v>185</v>
      </c>
      <c r="C128" s="94">
        <v>1</v>
      </c>
      <c r="D128" s="95" t="s">
        <v>63</v>
      </c>
      <c r="E128" s="95" t="s">
        <v>63</v>
      </c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123" t="s">
        <v>140</v>
      </c>
      <c r="BG128" s="124"/>
      <c r="BH128" s="124"/>
      <c r="BI128" s="124"/>
      <c r="BJ128" s="59"/>
      <c r="BK128" s="59"/>
      <c r="BL128" s="59"/>
      <c r="BM128" s="59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</row>
    <row r="129" spans="2:81" x14ac:dyDescent="0.35">
      <c r="B129" s="93" t="s">
        <v>186</v>
      </c>
      <c r="C129" s="94">
        <v>1</v>
      </c>
      <c r="D129" s="95" t="s">
        <v>63</v>
      </c>
      <c r="E129" s="95" t="s">
        <v>31</v>
      </c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122" t="s">
        <v>140</v>
      </c>
      <c r="BG129" s="122" t="s">
        <v>140</v>
      </c>
      <c r="BH129" s="122" t="s">
        <v>140</v>
      </c>
      <c r="BI129" s="123" t="s">
        <v>140</v>
      </c>
      <c r="BJ129" s="59"/>
      <c r="BK129" s="59"/>
      <c r="BL129" s="59"/>
      <c r="BM129" s="59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</row>
    <row r="130" spans="2:81" x14ac:dyDescent="0.35">
      <c r="B130" s="93" t="s">
        <v>187</v>
      </c>
      <c r="C130" s="94">
        <v>1</v>
      </c>
      <c r="D130" s="95" t="s">
        <v>63</v>
      </c>
      <c r="E130" s="95" t="s">
        <v>63</v>
      </c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123" t="s">
        <v>140</v>
      </c>
      <c r="BG130" s="124"/>
      <c r="BH130" s="124"/>
      <c r="BI130" s="124"/>
      <c r="BJ130" s="59"/>
      <c r="BK130" s="59"/>
      <c r="BL130" s="59"/>
      <c r="BM130" s="59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</row>
    <row r="131" spans="2:81" x14ac:dyDescent="0.35">
      <c r="B131" s="93" t="s">
        <v>188</v>
      </c>
      <c r="C131" s="94">
        <v>1</v>
      </c>
      <c r="D131" s="95" t="s">
        <v>31</v>
      </c>
      <c r="E131" s="95" t="s">
        <v>31</v>
      </c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95"/>
      <c r="BG131" s="124"/>
      <c r="BH131" s="124"/>
      <c r="BI131" s="123" t="s">
        <v>140</v>
      </c>
      <c r="BJ131" s="59"/>
      <c r="BK131" s="59"/>
      <c r="BL131" s="59"/>
      <c r="BM131" s="59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</row>
    <row r="132" spans="2:81" x14ac:dyDescent="0.35">
      <c r="B132" s="93" t="s">
        <v>189</v>
      </c>
      <c r="C132" s="94">
        <v>1</v>
      </c>
      <c r="D132" s="95" t="s">
        <v>31</v>
      </c>
      <c r="E132" s="95" t="s">
        <v>31</v>
      </c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95"/>
      <c r="BG132" s="124"/>
      <c r="BH132" s="124"/>
      <c r="BI132" s="123" t="s">
        <v>140</v>
      </c>
      <c r="BJ132" s="59"/>
      <c r="BK132" s="59"/>
      <c r="BL132" s="59"/>
      <c r="BM132" s="59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</row>
  </sheetData>
  <mergeCells count="37">
    <mergeCell ref="BV15:BY15"/>
    <mergeCell ref="BZ15:CC15"/>
    <mergeCell ref="AX15:BA15"/>
    <mergeCell ref="BB15:BE15"/>
    <mergeCell ref="BF15:BI15"/>
    <mergeCell ref="BJ15:BM15"/>
    <mergeCell ref="BN15:BQ15"/>
    <mergeCell ref="BR15:BU15"/>
    <mergeCell ref="Z15:AC15"/>
    <mergeCell ref="AD15:AG15"/>
    <mergeCell ref="AH15:AK15"/>
    <mergeCell ref="AL15:AO15"/>
    <mergeCell ref="AP15:AS15"/>
    <mergeCell ref="AT15:AW15"/>
    <mergeCell ref="AH14:CC14"/>
    <mergeCell ref="B15:B16"/>
    <mergeCell ref="C15:C16"/>
    <mergeCell ref="D15:D16"/>
    <mergeCell ref="E15:E16"/>
    <mergeCell ref="F15:I15"/>
    <mergeCell ref="J15:M15"/>
    <mergeCell ref="N15:Q15"/>
    <mergeCell ref="R15:U15"/>
    <mergeCell ref="V15:Y15"/>
    <mergeCell ref="E9:J9"/>
    <mergeCell ref="K9:N9"/>
    <mergeCell ref="F10:J10"/>
    <mergeCell ref="F11:J11"/>
    <mergeCell ref="F12:J12"/>
    <mergeCell ref="F14:AG14"/>
    <mergeCell ref="E5:N5"/>
    <mergeCell ref="E6:J6"/>
    <mergeCell ref="K6:N6"/>
    <mergeCell ref="E7:J7"/>
    <mergeCell ref="K7:N7"/>
    <mergeCell ref="E8:J8"/>
    <mergeCell ref="K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Al Fatah</dc:creator>
  <cp:lastModifiedBy>Amar Al Fatah</cp:lastModifiedBy>
  <dcterms:created xsi:type="dcterms:W3CDTF">2026-09-02T16:03:50Z</dcterms:created>
  <dcterms:modified xsi:type="dcterms:W3CDTF">2026-09-02T16:06:44Z</dcterms:modified>
</cp:coreProperties>
</file>